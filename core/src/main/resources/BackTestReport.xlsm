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goTrader\core\src\main\resources\"/>
    </mc:Choice>
  </mc:AlternateContent>
  <bookViews>
    <workbookView xWindow="0" yWindow="0" windowWidth="28800" windowHeight="11760" tabRatio="657"/>
  </bookViews>
  <sheets>
    <sheet name="Summary" sheetId="3" r:id="rId1"/>
    <sheet name="Metrics" sheetId="7" r:id="rId2"/>
    <sheet name="Performance" sheetId="4" r:id="rId3"/>
    <sheet name="Trades" sheetId="1" r:id="rId4"/>
    <sheet name="TradesPivot" sheetId="5" r:id="rId5"/>
  </sheets>
  <definedNames>
    <definedName name="_xlnm._FilterDatabase" localSheetId="2" hidden="1">Performance!$A$1:$G$888</definedName>
    <definedName name="BackTestReport" localSheetId="1">Metrics!$A$1:$B$48</definedName>
    <definedName name="MetricsArray">Metrics!$A$1:$A$59</definedName>
    <definedName name="MetricsTable">Metrics!$A$2:$B$59</definedName>
    <definedName name="PortfolioReport" localSheetId="2">Performance!$A$1:$H$288</definedName>
    <definedName name="_xlnm.Print_Area" localSheetId="0">Summary!$A$1:$AD$68</definedName>
    <definedName name="TradeReport" localSheetId="3">Trades!$A$1:$I$794</definedName>
  </definedNames>
  <calcPr calcId="162913"/>
  <pivotCaches>
    <pivotCache cacheId="203" r:id="rId6"/>
  </pivotCaches>
</workbook>
</file>

<file path=xl/calcChain.xml><?xml version="1.0" encoding="utf-8"?>
<calcChain xmlns="http://schemas.openxmlformats.org/spreadsheetml/2006/main">
  <c r="J2" i="1" l="1"/>
  <c r="M2" i="1"/>
  <c r="L2" i="1"/>
  <c r="K2" i="1"/>
  <c r="W17" i="3" l="1"/>
  <c r="W16" i="3"/>
  <c r="V15" i="3"/>
  <c r="W14" i="3"/>
  <c r="W13" i="3"/>
  <c r="AA17" i="3" l="1"/>
  <c r="AA16" i="3"/>
  <c r="AA15" i="3"/>
  <c r="S17" i="3"/>
  <c r="S16" i="3"/>
  <c r="S15" i="3"/>
  <c r="S14" i="3"/>
  <c r="I13" i="3" l="1"/>
  <c r="I14" i="3"/>
  <c r="I15" i="3"/>
  <c r="I16" i="3"/>
  <c r="AB8" i="3" l="1"/>
  <c r="AB7" i="3"/>
  <c r="AB6" i="3"/>
  <c r="AB5" i="3"/>
  <c r="S10" i="3"/>
  <c r="S9" i="3"/>
  <c r="S8" i="3"/>
  <c r="S7" i="3"/>
  <c r="S6" i="3"/>
  <c r="S5" i="3"/>
  <c r="H9" i="3"/>
  <c r="AA13" i="3"/>
  <c r="S13" i="3"/>
  <c r="H8" i="3" l="1"/>
  <c r="H7" i="3"/>
</calcChain>
</file>

<file path=xl/connections.xml><?xml version="1.0" encoding="utf-8"?>
<connections xmlns="http://schemas.openxmlformats.org/spreadsheetml/2006/main">
  <connection id="1" name="BackTestReport" type="6" refreshedVersion="6" background="1" saveData="1">
    <textPr prompt="0" sourceFile="D:\AlgoTraderExamples\box-runtime\files\report\BackTestReport.csv" thousands="'" comma="1">
      <textFields>
        <textField/>
      </textFields>
    </textPr>
  </connection>
  <connection id="2" name="PortfolioReport" type="6" refreshedVersion="6" background="1" refreshOnLoad="1" saveData="1">
    <textPr prompt="0" sourceFile="D:\AlgoTraderExamples\box-runtime\files\report\PortfolioReport.csv" thousands="'" comma="1">
      <textFields>
        <textField/>
      </textFields>
    </textPr>
  </connection>
  <connection id="3" name="TradeReport" type="6" refreshedVersion="6" background="1" refreshOnLoad="1" saveData="1">
    <textPr prompt="0" sourceFile="D:\AlgoTraderExamples\box-runtime\files\report\TradeReport.csv" thousands="'" comma="1">
      <textFields>
        <textField/>
      </textFields>
    </textPr>
  </connection>
</connections>
</file>

<file path=xl/sharedStrings.xml><?xml version="1.0" encoding="utf-8"?>
<sst xmlns="http://schemas.openxmlformats.org/spreadsheetml/2006/main" count="135" uniqueCount="108">
  <si>
    <t>type</t>
  </si>
  <si>
    <t>security</t>
  </si>
  <si>
    <t>currency</t>
  </si>
  <si>
    <t>strategy</t>
  </si>
  <si>
    <t>date</t>
  </si>
  <si>
    <t>Row Labels</t>
  </si>
  <si>
    <t>Grand Total</t>
  </si>
  <si>
    <t>(All)</t>
  </si>
  <si>
    <t>Sum of profit</t>
  </si>
  <si>
    <t>month</t>
  </si>
  <si>
    <t>weekday</t>
  </si>
  <si>
    <t>year</t>
  </si>
  <si>
    <t>Cumulative profit</t>
  </si>
  <si>
    <t>netLiqValue</t>
  </si>
  <si>
    <t>dataSet</t>
  </si>
  <si>
    <t>posMonths</t>
  </si>
  <si>
    <t>negMonths</t>
  </si>
  <si>
    <t>posYears</t>
  </si>
  <si>
    <t>negYears</t>
  </si>
  <si>
    <t>avgM</t>
  </si>
  <si>
    <t>stdM</t>
  </si>
  <si>
    <t>avgY</t>
  </si>
  <si>
    <t>stdY</t>
  </si>
  <si>
    <t>sharpeRatio</t>
  </si>
  <si>
    <t>colmarRatio</t>
  </si>
  <si>
    <t>maxMonthlyDrawDown</t>
  </si>
  <si>
    <t>bestMonthlyPerformance</t>
  </si>
  <si>
    <t>maxDrawDown</t>
  </si>
  <si>
    <t>Trades</t>
  </si>
  <si>
    <t>Winning</t>
  </si>
  <si>
    <t>All</t>
  </si>
  <si>
    <t>Date</t>
  </si>
  <si>
    <t>Time</t>
  </si>
  <si>
    <t>Performance</t>
  </si>
  <si>
    <t>Draw Down</t>
  </si>
  <si>
    <t>Monthly / Yearly Return</t>
  </si>
  <si>
    <t>produced by AlgoTrader 3.0</t>
  </si>
  <si>
    <t>www.algotrader.ch</t>
  </si>
  <si>
    <t>metric</t>
  </si>
  <si>
    <t>value</t>
  </si>
  <si>
    <t>executionTime</t>
  </si>
  <si>
    <t>maxDrawDownPeriod</t>
  </si>
  <si>
    <t>winningTradesCount</t>
  </si>
  <si>
    <t>winningTradesPct</t>
  </si>
  <si>
    <t>winningTradesTotalProfit</t>
  </si>
  <si>
    <t>winningTradesAvgProfit</t>
  </si>
  <si>
    <t>winningTradesAvgProfitPct</t>
  </si>
  <si>
    <t>allTradesCount</t>
  </si>
  <si>
    <t>allTradesTotalProfit</t>
  </si>
  <si>
    <t>allTradesAvgProfit</t>
  </si>
  <si>
    <t>allTradesAvgProfitPct</t>
  </si>
  <si>
    <t>returns</t>
  </si>
  <si>
    <t>dateTime</t>
  </si>
  <si>
    <t>quantity</t>
  </si>
  <si>
    <t>profit</t>
  </si>
  <si>
    <t>profitPct</t>
  </si>
  <si>
    <t>winning</t>
  </si>
  <si>
    <t>cashBalance</t>
  </si>
  <si>
    <t xml:space="preserve">AlgoTrader Backtest Report   </t>
  </si>
  <si>
    <t>%</t>
  </si>
  <si>
    <t xml:space="preserve">Dec </t>
  </si>
  <si>
    <t xml:space="preserve">Year </t>
  </si>
  <si>
    <t>Execution Time (min)</t>
  </si>
  <si>
    <t>Data Set</t>
  </si>
  <si>
    <t>Net Liquid Value</t>
  </si>
  <si>
    <t>Sharpe Ratio</t>
  </si>
  <si>
    <t>Colmar Ratio</t>
  </si>
  <si>
    <t>Positive Months</t>
  </si>
  <si>
    <t>Negative Months</t>
  </si>
  <si>
    <t>Positive Years</t>
  </si>
  <si>
    <t>Negative Years</t>
  </si>
  <si>
    <t>Losing</t>
  </si>
  <si>
    <t>(blank)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</si>
  <si>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</si>
  <si>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</si>
  <si>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</si>
  <si>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</si>
  <si>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</si>
  <si>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</si>
  <si>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</si>
  <si>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</si>
  <si>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</si>
  <si>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</si>
  <si>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</si>
  <si>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 xml:space="preserve"> </t>
  </si>
  <si>
    <t>marketValue</t>
  </si>
  <si>
    <t>realizedPL</t>
  </si>
  <si>
    <t>unrealizedPL</t>
  </si>
  <si>
    <t>openPositions</t>
  </si>
  <si>
    <t>leverage</t>
  </si>
  <si>
    <t>Total Profit</t>
  </si>
  <si>
    <t>Best Monthly Performance</t>
  </si>
  <si>
    <t>Count</t>
  </si>
  <si>
    <t>losingTradesCount</t>
  </si>
  <si>
    <t>losingTradesPct</t>
  </si>
  <si>
    <t>losingTradesTotalProfit</t>
  </si>
  <si>
    <t>losingTradesAvgProfit</t>
  </si>
  <si>
    <t>losingTradesAvgProfitPct</t>
  </si>
  <si>
    <t>Master Data</t>
  </si>
  <si>
    <t>Worst Monthly Draw Down</t>
  </si>
  <si>
    <t>Worst Draw Down (%)</t>
  </si>
  <si>
    <t>Worst Draw Down (days)</t>
  </si>
  <si>
    <t>Average Profit</t>
  </si>
  <si>
    <t>Average Profit (%)</t>
  </si>
  <si>
    <t>Monthly Average Return</t>
  </si>
  <si>
    <t>Monthly Standard Deviation</t>
  </si>
  <si>
    <t>Annual Average  Return</t>
  </si>
  <si>
    <t>Annual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</si>
</sst>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_ * #,##0_ ;_ * \-#,##0_ ;_ * &quot;-&quot;??_ ;_ @_ "/>
    <numFmt numFmtId="165" formatCode="#,##0.00_ ;[Red]\-#,##0.00\ "/>
    <numFmt numFmtId="166" formatCode="0.0000"/>
    <numFmt numFmtId="167" formatCode="#,##0.0000"/>
    <numFmt numFmtId="168" formatCode="#,##0_ ;[Red]\-#,##0\ "/>
    <numFmt numFmtId="169" formatCode="#,##0.00_ ;\-#,##0.00\ "/>
    <numFmt numFmtId="170" formatCode="#,##0_ ;\-#,##0\ 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Helvetica"/>
      <family val="2"/>
    </font>
    <font>
      <b/>
      <sz val="9"/>
      <color theme="0"/>
      <name val="Helvetica"/>
      <family val="2"/>
    </font>
    <font>
      <sz val="9"/>
      <color theme="0"/>
      <name val="Helvetica"/>
      <family val="2"/>
    </font>
    <font>
      <b/>
      <sz val="9"/>
      <color theme="1"/>
      <name val="Helvetica"/>
      <family val="2"/>
    </font>
    <font>
      <sz val="9"/>
      <color theme="1" tint="0.499984740745262"/>
      <name val="Helvetica"/>
      <family val="2"/>
    </font>
    <font>
      <b/>
      <sz val="14"/>
      <color rgb="FF2E363E"/>
      <name val="Helvetica"/>
      <family val="2"/>
    </font>
    <font>
      <sz val="11"/>
      <color rgb="FF000000"/>
      <name val="Calibri"/>
      <family val="2"/>
    </font>
    <font>
      <sz val="9"/>
      <color rgb="FFC34F68"/>
      <name val="Helvetic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CCCCCC"/>
      </top>
      <bottom/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1" applyNumberFormat="1" applyFont="1"/>
    <xf numFmtId="1" fontId="0" fillId="0" borderId="0" xfId="1" applyNumberFormat="1" applyFont="1"/>
    <xf numFmtId="0" fontId="16" fillId="0" borderId="0" xfId="0" applyFont="1"/>
    <xf numFmtId="4" fontId="0" fillId="0" borderId="0" xfId="0" applyNumberFormat="1"/>
    <xf numFmtId="14" fontId="0" fillId="0" borderId="0" xfId="43" applyNumberFormat="1" applyFont="1" applyAlignment="1">
      <alignment wrapText="1"/>
    </xf>
    <xf numFmtId="10" fontId="0" fillId="0" borderId="0" xfId="43" applyNumberFormat="1" applyFont="1"/>
    <xf numFmtId="166" fontId="0" fillId="0" borderId="0" xfId="43" applyNumberFormat="1" applyFont="1"/>
    <xf numFmtId="16" fontId="0" fillId="0" borderId="0" xfId="0" applyNumberFormat="1"/>
    <xf numFmtId="16" fontId="0" fillId="0" borderId="0" xfId="43" applyNumberFormat="1" applyFont="1" applyAlignment="1">
      <alignment wrapText="1"/>
    </xf>
    <xf numFmtId="14" fontId="0" fillId="0" borderId="0" xfId="0" applyNumberFormat="1"/>
    <xf numFmtId="0" fontId="18" fillId="0" borderId="0" xfId="0" applyFont="1"/>
    <xf numFmtId="0" fontId="18" fillId="33" borderId="12" xfId="0" applyFont="1" applyFill="1" applyBorder="1"/>
    <xf numFmtId="0" fontId="18" fillId="33" borderId="10" xfId="0" applyFont="1" applyFill="1" applyBorder="1"/>
    <xf numFmtId="0" fontId="18" fillId="33" borderId="13" xfId="0" applyFont="1" applyFill="1" applyBorder="1"/>
    <xf numFmtId="0" fontId="18" fillId="0" borderId="14" xfId="0" applyFont="1" applyFill="1" applyBorder="1"/>
    <xf numFmtId="0" fontId="18" fillId="0" borderId="0" xfId="0" applyFont="1" applyFill="1" applyBorder="1"/>
    <xf numFmtId="14" fontId="18" fillId="0" borderId="0" xfId="0" applyNumberFormat="1" applyFont="1" applyFill="1" applyBorder="1"/>
    <xf numFmtId="14" fontId="18" fillId="0" borderId="0" xfId="0" applyNumberFormat="1" applyFont="1" applyFill="1" applyBorder="1" applyAlignment="1"/>
    <xf numFmtId="10" fontId="18" fillId="0" borderId="0" xfId="0" applyNumberFormat="1" applyFont="1" applyFill="1" applyBorder="1"/>
    <xf numFmtId="10" fontId="18" fillId="0" borderId="0" xfId="0" applyNumberFormat="1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21" fontId="18" fillId="0" borderId="0" xfId="0" applyNumberFormat="1" applyFont="1" applyFill="1" applyBorder="1"/>
    <xf numFmtId="21" fontId="18" fillId="0" borderId="0" xfId="0" applyNumberFormat="1" applyFont="1" applyFill="1" applyBorder="1" applyAlignment="1"/>
    <xf numFmtId="0" fontId="18" fillId="0" borderId="0" xfId="0" applyFont="1" applyFill="1" applyBorder="1" applyAlignment="1"/>
    <xf numFmtId="4" fontId="18" fillId="0" borderId="0" xfId="0" applyNumberFormat="1" applyFont="1" applyFill="1" applyBorder="1"/>
    <xf numFmtId="3" fontId="18" fillId="0" borderId="0" xfId="0" applyNumberFormat="1" applyFont="1" applyFill="1" applyBorder="1" applyAlignment="1"/>
    <xf numFmtId="165" fontId="18" fillId="0" borderId="0" xfId="0" applyNumberFormat="1" applyFont="1" applyFill="1" applyBorder="1" applyAlignment="1">
      <alignment horizontal="right"/>
    </xf>
    <xf numFmtId="0" fontId="18" fillId="0" borderId="16" xfId="0" applyFont="1" applyFill="1" applyBorder="1"/>
    <xf numFmtId="0" fontId="18" fillId="0" borderId="11" xfId="0" applyFont="1" applyFill="1" applyBorder="1"/>
    <xf numFmtId="4" fontId="18" fillId="0" borderId="11" xfId="0" applyNumberFormat="1" applyFont="1" applyFill="1" applyBorder="1"/>
    <xf numFmtId="0" fontId="18" fillId="0" borderId="11" xfId="0" applyFont="1" applyFill="1" applyBorder="1" applyAlignment="1">
      <alignment horizontal="right"/>
    </xf>
    <xf numFmtId="3" fontId="18" fillId="0" borderId="11" xfId="0" applyNumberFormat="1" applyFont="1" applyFill="1" applyBorder="1" applyAlignment="1">
      <alignment horizontal="right"/>
    </xf>
    <xf numFmtId="3" fontId="18" fillId="0" borderId="17" xfId="0" applyNumberFormat="1" applyFont="1" applyFill="1" applyBorder="1" applyAlignment="1">
      <alignment horizontal="right"/>
    </xf>
    <xf numFmtId="165" fontId="18" fillId="0" borderId="11" xfId="0" applyNumberFormat="1" applyFont="1" applyFill="1" applyBorder="1" applyAlignment="1">
      <alignment horizontal="right"/>
    </xf>
    <xf numFmtId="0" fontId="18" fillId="0" borderId="17" xfId="0" applyFont="1" applyFill="1" applyBorder="1" applyAlignment="1">
      <alignment horizontal="right"/>
    </xf>
    <xf numFmtId="10" fontId="18" fillId="0" borderId="0" xfId="0" applyNumberFormat="1" applyFont="1" applyFill="1" applyBorder="1" applyAlignment="1"/>
    <xf numFmtId="0" fontId="18" fillId="33" borderId="10" xfId="0" applyFont="1" applyFill="1" applyBorder="1" applyAlignment="1">
      <alignment horizontal="right"/>
    </xf>
    <xf numFmtId="0" fontId="18" fillId="0" borderId="16" xfId="0" applyFont="1" applyFill="1" applyBorder="1" applyAlignment="1">
      <alignment horizontal="right"/>
    </xf>
    <xf numFmtId="0" fontId="21" fillId="0" borderId="0" xfId="0" applyFont="1" applyFill="1" applyBorder="1" applyAlignment="1">
      <alignment horizontal="center"/>
    </xf>
    <xf numFmtId="165" fontId="18" fillId="0" borderId="0" xfId="0" applyNumberFormat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right"/>
    </xf>
    <xf numFmtId="3" fontId="18" fillId="0" borderId="0" xfId="0" applyNumberFormat="1" applyFont="1" applyFill="1" applyBorder="1" applyAlignment="1">
      <alignment horizontal="right"/>
    </xf>
    <xf numFmtId="3" fontId="18" fillId="0" borderId="15" xfId="0" applyNumberFormat="1" applyFont="1" applyFill="1" applyBorder="1" applyAlignment="1">
      <alignment horizontal="right"/>
    </xf>
    <xf numFmtId="0" fontId="19" fillId="34" borderId="0" xfId="0" applyFont="1" applyFill="1"/>
    <xf numFmtId="0" fontId="20" fillId="34" borderId="0" xfId="0" applyFont="1" applyFill="1"/>
    <xf numFmtId="0" fontId="18" fillId="34" borderId="0" xfId="0" applyFont="1" applyFill="1"/>
    <xf numFmtId="0" fontId="23" fillId="34" borderId="0" xfId="0" applyFont="1" applyFill="1" applyAlignment="1">
      <alignment horizontal="right" vertical="center"/>
    </xf>
    <xf numFmtId="10" fontId="18" fillId="0" borderId="11" xfId="43" applyNumberFormat="1" applyFont="1" applyFill="1" applyBorder="1" applyAlignment="1">
      <alignment horizontal="right"/>
    </xf>
    <xf numFmtId="169" fontId="18" fillId="0" borderId="0" xfId="0" applyNumberFormat="1" applyFont="1" applyFill="1" applyBorder="1" applyAlignment="1">
      <alignment horizontal="right"/>
    </xf>
    <xf numFmtId="9" fontId="18" fillId="0" borderId="0" xfId="43" applyFont="1" applyFill="1" applyBorder="1" applyAlignment="1">
      <alignment horizontal="right"/>
    </xf>
    <xf numFmtId="170" fontId="18" fillId="0" borderId="0" xfId="0" applyNumberFormat="1" applyFont="1" applyFill="1" applyBorder="1" applyAlignment="1">
      <alignment horizontal="right"/>
    </xf>
    <xf numFmtId="11" fontId="0" fillId="0" borderId="0" xfId="0" applyNumberFormat="1"/>
    <xf numFmtId="16" fontId="16" fillId="0" borderId="0" xfId="0" applyNumberFormat="1" applyFont="1"/>
    <xf numFmtId="10" fontId="16" fillId="0" borderId="0" xfId="43" applyNumberFormat="1" applyFont="1"/>
    <xf numFmtId="4" fontId="18" fillId="0" borderId="11" xfId="0" applyNumberFormat="1" applyFont="1" applyFill="1" applyBorder="1" applyAlignment="1">
      <alignment horizontal="center"/>
    </xf>
    <xf numFmtId="4" fontId="18" fillId="0" borderId="16" xfId="0" applyNumberFormat="1" applyFont="1" applyFill="1" applyBorder="1" applyAlignment="1">
      <alignment horizontal="center"/>
    </xf>
    <xf numFmtId="4" fontId="18" fillId="0" borderId="17" xfId="0" applyNumberFormat="1" applyFont="1" applyFill="1" applyBorder="1" applyAlignment="1">
      <alignment horizontal="center"/>
    </xf>
    <xf numFmtId="4" fontId="18" fillId="0" borderId="0" xfId="0" applyNumberFormat="1" applyFont="1" applyFill="1" applyBorder="1" applyAlignment="1">
      <alignment horizontal="center"/>
    </xf>
    <xf numFmtId="4" fontId="18" fillId="0" borderId="14" xfId="0" applyNumberFormat="1" applyFont="1" applyFill="1" applyBorder="1" applyAlignment="1">
      <alignment horizontal="center"/>
    </xf>
    <xf numFmtId="4" fontId="18" fillId="0" borderId="15" xfId="0" applyNumberFormat="1" applyFont="1" applyFill="1" applyBorder="1" applyAlignment="1">
      <alignment horizontal="center"/>
    </xf>
    <xf numFmtId="3" fontId="18" fillId="0" borderId="16" xfId="0" applyNumberFormat="1" applyFont="1" applyFill="1" applyBorder="1" applyAlignment="1">
      <alignment horizontal="center"/>
    </xf>
    <xf numFmtId="3" fontId="18" fillId="0" borderId="17" xfId="0" applyNumberFormat="1" applyFont="1" applyFill="1" applyBorder="1" applyAlignment="1">
      <alignment horizontal="center"/>
    </xf>
    <xf numFmtId="4" fontId="25" fillId="0" borderId="11" xfId="0" applyNumberFormat="1" applyFont="1" applyFill="1" applyBorder="1" applyAlignment="1">
      <alignment horizontal="center"/>
    </xf>
    <xf numFmtId="4" fontId="25" fillId="0" borderId="0" xfId="0" applyNumberFormat="1" applyFont="1" applyFill="1" applyBorder="1" applyAlignment="1">
      <alignment horizontal="center"/>
    </xf>
    <xf numFmtId="3" fontId="18" fillId="0" borderId="14" xfId="0" applyNumberFormat="1" applyFont="1" applyFill="1" applyBorder="1" applyAlignment="1">
      <alignment horizontal="center"/>
    </xf>
    <xf numFmtId="3" fontId="18" fillId="0" borderId="15" xfId="0" applyNumberFormat="1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right"/>
    </xf>
    <xf numFmtId="3" fontId="18" fillId="0" borderId="15" xfId="0" applyNumberFormat="1" applyFont="1" applyFill="1" applyBorder="1" applyAlignment="1">
      <alignment horizontal="right"/>
    </xf>
    <xf numFmtId="0" fontId="18" fillId="33" borderId="10" xfId="0" applyFont="1" applyFill="1" applyBorder="1" applyAlignment="1">
      <alignment horizontal="center"/>
    </xf>
    <xf numFmtId="0" fontId="18" fillId="33" borderId="13" xfId="0" applyFont="1" applyFill="1" applyBorder="1" applyAlignment="1">
      <alignment horizontal="center"/>
    </xf>
    <xf numFmtId="169" fontId="18" fillId="0" borderId="0" xfId="0" applyNumberFormat="1" applyFont="1" applyFill="1" applyBorder="1" applyAlignment="1">
      <alignment horizontal="right"/>
    </xf>
    <xf numFmtId="10" fontId="18" fillId="0" borderId="11" xfId="43" applyNumberFormat="1" applyFont="1" applyFill="1" applyBorder="1" applyAlignment="1">
      <alignment horizontal="right"/>
    </xf>
    <xf numFmtId="168" fontId="18" fillId="0" borderId="0" xfId="0" applyNumberFormat="1" applyFont="1" applyFill="1" applyBorder="1" applyAlignment="1">
      <alignment horizontal="right"/>
    </xf>
    <xf numFmtId="168" fontId="18" fillId="0" borderId="15" xfId="0" applyNumberFormat="1" applyFont="1" applyFill="1" applyBorder="1" applyAlignment="1">
      <alignment horizontal="right"/>
    </xf>
    <xf numFmtId="0" fontId="18" fillId="33" borderId="12" xfId="0" applyFont="1" applyFill="1" applyBorder="1" applyAlignment="1">
      <alignment horizontal="center"/>
    </xf>
    <xf numFmtId="14" fontId="18" fillId="0" borderId="0" xfId="0" applyNumberFormat="1" applyFont="1" applyFill="1" applyBorder="1" applyAlignment="1">
      <alignment horizontal="right"/>
    </xf>
    <xf numFmtId="14" fontId="18" fillId="0" borderId="15" xfId="0" applyNumberFormat="1" applyFont="1" applyFill="1" applyBorder="1" applyAlignment="1">
      <alignment horizontal="right"/>
    </xf>
    <xf numFmtId="21" fontId="18" fillId="0" borderId="0" xfId="0" applyNumberFormat="1" applyFont="1" applyFill="1" applyBorder="1" applyAlignment="1">
      <alignment horizontal="right"/>
    </xf>
    <xf numFmtId="21" fontId="18" fillId="0" borderId="15" xfId="0" applyNumberFormat="1" applyFont="1" applyFill="1" applyBorder="1" applyAlignment="1">
      <alignment horizontal="right"/>
    </xf>
    <xf numFmtId="167" fontId="18" fillId="0" borderId="0" xfId="0" applyNumberFormat="1" applyFont="1" applyFill="1" applyBorder="1" applyAlignment="1">
      <alignment horizontal="right"/>
    </xf>
    <xf numFmtId="167" fontId="18" fillId="0" borderId="15" xfId="0" applyNumberFormat="1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0" fontId="18" fillId="0" borderId="15" xfId="0" applyFont="1" applyFill="1" applyBorder="1" applyAlignment="1">
      <alignment horizontal="right"/>
    </xf>
    <xf numFmtId="10" fontId="18" fillId="0" borderId="0" xfId="0" applyNumberFormat="1" applyFont="1" applyFill="1" applyBorder="1" applyAlignment="1">
      <alignment horizontal="right"/>
    </xf>
    <xf numFmtId="10" fontId="18" fillId="0" borderId="15" xfId="0" applyNumberFormat="1" applyFont="1" applyFill="1" applyBorder="1" applyAlignment="1">
      <alignment horizontal="right"/>
    </xf>
    <xf numFmtId="165" fontId="18" fillId="0" borderId="0" xfId="0" applyNumberFormat="1" applyFont="1" applyFill="1" applyBorder="1" applyAlignment="1">
      <alignment horizontal="right"/>
    </xf>
    <xf numFmtId="165" fontId="18" fillId="0" borderId="15" xfId="0" applyNumberFormat="1" applyFont="1" applyFill="1" applyBorder="1" applyAlignment="1">
      <alignment horizontal="right"/>
    </xf>
    <xf numFmtId="0" fontId="18" fillId="33" borderId="10" xfId="0" applyFont="1" applyFill="1" applyBorder="1" applyAlignment="1">
      <alignment horizontal="right"/>
    </xf>
    <xf numFmtId="170" fontId="18" fillId="0" borderId="0" xfId="0" applyNumberFormat="1" applyFont="1" applyFill="1" applyBorder="1" applyAlignment="1">
      <alignment horizontal="right"/>
    </xf>
    <xf numFmtId="9" fontId="18" fillId="0" borderId="0" xfId="43" applyFont="1" applyFill="1" applyBorder="1" applyAlignment="1">
      <alignment horizontal="right"/>
    </xf>
    <xf numFmtId="0" fontId="18" fillId="33" borderId="12" xfId="0" applyFont="1" applyFill="1" applyBorder="1" applyAlignment="1">
      <alignment horizontal="left"/>
    </xf>
    <xf numFmtId="0" fontId="18" fillId="33" borderId="10" xfId="0" applyFont="1" applyFill="1" applyBorder="1" applyAlignment="1">
      <alignment horizontal="left"/>
    </xf>
    <xf numFmtId="0" fontId="18" fillId="33" borderId="13" xfId="0" applyFont="1" applyFill="1" applyBorder="1" applyAlignment="1">
      <alignment horizontal="right"/>
    </xf>
    <xf numFmtId="170" fontId="18" fillId="0" borderId="15" xfId="0" applyNumberFormat="1" applyFont="1" applyFill="1" applyBorder="1" applyAlignment="1">
      <alignment horizontal="right"/>
    </xf>
    <xf numFmtId="9" fontId="18" fillId="0" borderId="15" xfId="43" applyFont="1" applyFill="1" applyBorder="1" applyAlignment="1">
      <alignment horizontal="right"/>
    </xf>
    <xf numFmtId="169" fontId="18" fillId="0" borderId="15" xfId="0" applyNumberFormat="1" applyFont="1" applyFill="1" applyBorder="1" applyAlignment="1">
      <alignment horizontal="right"/>
    </xf>
    <xf numFmtId="10" fontId="18" fillId="0" borderId="17" xfId="43" applyNumberFormat="1" applyFont="1" applyFill="1" applyBorder="1" applyAlignment="1">
      <alignment horizontal="right"/>
    </xf>
    <xf numFmtId="165" fontId="18" fillId="0" borderId="11" xfId="0" applyNumberFormat="1" applyFont="1" applyFill="1" applyBorder="1" applyAlignment="1">
      <alignment horizontal="right"/>
    </xf>
    <xf numFmtId="165" fontId="18" fillId="0" borderId="17" xfId="0" applyNumberFormat="1" applyFont="1" applyFill="1" applyBorder="1" applyAlignment="1">
      <alignment horizontal="right"/>
    </xf>
    <xf numFmtId="21" fontId="0" fillId="0" borderId="0" xfId="0" applyNumberFormat="1" applyAlignment="1">
      <alignment horizontal="left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C34F68"/>
      <color rgb="FF2E363E"/>
      <color rgb="FF1C84B2"/>
      <color rgb="FF3A8E76"/>
      <color rgb="FF606060"/>
      <color rgb="FF000000"/>
      <color rgb="FFD9D9D9"/>
      <color rgb="FFF79646"/>
      <color rgb="FFB2B2B2"/>
      <color rgb="FF1C84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[BackTestReport.xlsm]TradesPivot!PivotTable1</c:name>
    <c:fmtId val="0"/>
  </c:pivotSource>
  <c:chart>
    <c:title>
      <c:tx>
        <c:rich>
          <a:bodyPr/>
          <a:lstStyle/>
          <a:p>
            <a:pPr>
              <a:defRPr sz="1200" b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r>
              <a:rPr lang="de-CH" sz="1200" b="0">
                <a:solidFill>
                  <a:srgbClr val="606060"/>
                </a:solidFill>
                <a:latin typeface="Helvetica" panose="020B0604020202030204" pitchFamily="34" charset="0"/>
              </a:rPr>
              <a:t>Trades</a:t>
            </a:r>
          </a:p>
        </c:rich>
      </c:tx>
      <c:layout>
        <c:manualLayout>
          <c:xMode val="edge"/>
          <c:yMode val="edge"/>
          <c:x val="0.3848002702675079"/>
          <c:y val="9.8857931509888572E-2"/>
        </c:manualLayout>
      </c:layout>
      <c:overlay val="0"/>
    </c:title>
    <c:autoTitleDeleted val="0"/>
    <c:pivotFmts>
      <c:pivotFmt>
        <c:idx val="0"/>
        <c:spPr>
          <a:ln>
            <a:solidFill>
              <a:srgbClr val="1C84B2"/>
            </a:solidFill>
          </a:ln>
        </c:spPr>
        <c:marker>
          <c:symbol val="none"/>
        </c:marker>
      </c:pivotFmt>
      <c:pivotFmt>
        <c:idx val="1"/>
        <c:spPr>
          <a:solidFill>
            <a:srgbClr val="3A8E76">
              <a:alpha val="71000"/>
            </a:srgbClr>
          </a:solidFill>
          <a:ln>
            <a:solidFill>
              <a:srgbClr val="3A8E7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8053968973930951E-2"/>
          <c:y val="0.16539227958535355"/>
          <c:w val="0.7010999920720794"/>
          <c:h val="0.56922942103484586"/>
        </c:manualLayout>
      </c:layout>
      <c:areaChart>
        <c:grouping val="standard"/>
        <c:varyColors val="0"/>
        <c:ser>
          <c:idx val="1"/>
          <c:order val="1"/>
          <c:tx>
            <c:strRef>
              <c:f>TradesPivot!$C$9</c:f>
              <c:strCache>
                <c:ptCount val="1"/>
                <c:pt idx="0">
                  <c:v>Cumulative profit</c:v>
                </c:pt>
              </c:strCache>
            </c:strRef>
          </c:tx>
          <c:spPr>
            <a:solidFill>
              <a:srgbClr val="3A8E76">
                <a:alpha val="71000"/>
              </a:srgbClr>
            </a:solidFill>
            <a:ln>
              <a:solidFill>
                <a:srgbClr val="3A8E76"/>
              </a:solidFill>
            </a:ln>
          </c:spPr>
          <c:cat>
            <c:strRef>
              <c:f>TradesPivot!$A$10:$A$12</c:f>
              <c:strCache>
                <c:ptCount val="2"/>
                <c:pt idx="0">
                  <c:v>(blank)</c:v>
                </c:pt>
                <c:pt idx="1">
                  <c:v>00:00:00</c:v>
                </c:pt>
              </c:strCache>
            </c:strRef>
          </c:cat>
          <c:val>
            <c:numRef>
              <c:f>TradesPivot!$C$10:$C$12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5920"/>
        <c:axId val="85027456"/>
      </c:areaChart>
      <c:barChart>
        <c:barDir val="col"/>
        <c:grouping val="clustered"/>
        <c:varyColors val="0"/>
        <c:ser>
          <c:idx val="0"/>
          <c:order val="0"/>
          <c:tx>
            <c:strRef>
              <c:f>TradesPivot!$B$9</c:f>
              <c:strCache>
                <c:ptCount val="1"/>
                <c:pt idx="0">
                  <c:v>Sum of profit</c:v>
                </c:pt>
              </c:strCache>
            </c:strRef>
          </c:tx>
          <c:spPr>
            <a:ln>
              <a:solidFill>
                <a:srgbClr val="1C84B2"/>
              </a:solidFill>
            </a:ln>
          </c:spPr>
          <c:invertIfNegative val="0"/>
          <c:cat>
            <c:strRef>
              <c:f>TradesPivot!$A$10:$A$12</c:f>
              <c:strCache>
                <c:ptCount val="2"/>
                <c:pt idx="0">
                  <c:v>(blank)</c:v>
                </c:pt>
                <c:pt idx="1">
                  <c:v>00:00:00</c:v>
                </c:pt>
              </c:strCache>
            </c:strRef>
          </c:cat>
          <c:val>
            <c:numRef>
              <c:f>TradesPivot!$B$10:$B$12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CF3-B557-A40887281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360936"/>
        <c:axId val="445364544"/>
      </c:barChart>
      <c:catAx>
        <c:axId val="85025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sz="800" b="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7456"/>
        <c:crosses val="autoZero"/>
        <c:auto val="1"/>
        <c:lblAlgn val="ctr"/>
        <c:lblOffset val="100"/>
        <c:tickLblSkip val="16"/>
        <c:tickMarkSkip val="16"/>
        <c:noMultiLvlLbl val="0"/>
      </c:catAx>
      <c:valAx>
        <c:axId val="85027456"/>
        <c:scaling>
          <c:orientation val="minMax"/>
        </c:scaling>
        <c:delete val="0"/>
        <c:axPos val="l"/>
        <c:majorGridlines>
          <c:spPr>
            <a:ln>
              <a:solidFill>
                <a:srgbClr val="CCCCCC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85025920"/>
        <c:crosses val="autoZero"/>
        <c:crossBetween val="midCat"/>
      </c:valAx>
      <c:valAx>
        <c:axId val="445364544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06060"/>
                </a:solidFill>
                <a:latin typeface="Helvetica" panose="020B0604020202030204" pitchFamily="34" charset="0"/>
              </a:defRPr>
            </a:pPr>
            <a:endParaRPr lang="de-DE"/>
          </a:p>
        </c:txPr>
        <c:crossAx val="445360936"/>
        <c:crosses val="max"/>
        <c:crossBetween val="between"/>
      </c:valAx>
      <c:catAx>
        <c:axId val="445360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5364544"/>
        <c:crosses val="autoZero"/>
        <c:auto val="1"/>
        <c:lblAlgn val="ctr"/>
        <c:lblOffset val="100"/>
        <c:noMultiLvlLbl val="0"/>
      </c:catAx>
    </c:plotArea>
    <c:legend>
      <c:legendPos val="r"/>
      <c:overlay val="0"/>
      <c:txPr>
        <a:bodyPr/>
        <a:lstStyle/>
        <a:p>
          <a:pPr>
            <a:defRPr sz="800">
              <a:latin typeface="Helvetica" panose="020B060402020203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>
      <a:solidFill>
        <a:srgbClr val="CCCCCC"/>
      </a:solidFill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r>
              <a:rPr lang="de-CH" sz="1200">
                <a:solidFill>
                  <a:srgbClr val="606060"/>
                </a:solidFill>
                <a:latin typeface="Helvetica" panose="020B0604020202030204" pitchFamily="34" charset="0"/>
              </a:rPr>
              <a:t>Performance</a:t>
            </a:r>
          </a:p>
        </c:rich>
      </c:tx>
      <c:layout>
        <c:manualLayout>
          <c:xMode val="edge"/>
          <c:yMode val="edge"/>
          <c:x val="0.35538377511847652"/>
          <c:y val="4.4474109414713719E-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rgbClr val="606060"/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2315071216210909E-2"/>
          <c:y val="8.1032728051850661E-2"/>
          <c:w val="0.68125835168273252"/>
          <c:h val="0.67419809072442105"/>
        </c:manualLayout>
      </c:layout>
      <c:scatterChart>
        <c:scatterStyle val="lineMarker"/>
        <c:varyColors val="0"/>
        <c:ser>
          <c:idx val="1"/>
          <c:order val="1"/>
          <c:tx>
            <c:strRef>
              <c:f>Performance!$C$1</c:f>
              <c:strCache>
                <c:ptCount val="1"/>
                <c:pt idx="0">
                  <c:v>marketValue</c:v>
                </c:pt>
              </c:strCache>
            </c:strRef>
          </c:tx>
          <c:spPr>
            <a:ln w="19050" cap="rnd">
              <a:solidFill>
                <a:srgbClr val="606060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Performance!$A$2:$A$288</c:f>
              <c:numCache>
                <c:formatCode>m/d/yyyy\ h:mm</c:formatCode>
                <c:ptCount val="287"/>
              </c:numCache>
            </c:numRef>
          </c:xVal>
          <c:yVal>
            <c:numRef>
              <c:f>Performance!$C$2:$C$288</c:f>
              <c:numCache>
                <c:formatCode>General</c:formatCode>
                <c:ptCount val="2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D-4F24-95F8-768893DA4DEA}"/>
            </c:ext>
          </c:extLst>
        </c:ser>
        <c:ser>
          <c:idx val="2"/>
          <c:order val="2"/>
          <c:tx>
            <c:strRef>
              <c:f>Performance!$D$1</c:f>
              <c:strCache>
                <c:ptCount val="1"/>
                <c:pt idx="0">
                  <c:v>realizedPL</c:v>
                </c:pt>
              </c:strCache>
            </c:strRef>
          </c:tx>
          <c:spPr>
            <a:ln w="19050" cap="rnd">
              <a:solidFill>
                <a:srgbClr val="C34F68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Performance!$A$2:$A$288</c:f>
              <c:numCache>
                <c:formatCode>m/d/yyyy\ h:mm</c:formatCode>
                <c:ptCount val="287"/>
              </c:numCache>
            </c:numRef>
          </c:xVal>
          <c:yVal>
            <c:numRef>
              <c:f>Performance!$D$2:$D$288</c:f>
              <c:numCache>
                <c:formatCode>General</c:formatCode>
                <c:ptCount val="2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208504"/>
        <c:axId val="6652091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Performance!$B$1</c15:sqref>
                        </c15:formulaRef>
                      </c:ext>
                    </c:extLst>
                    <c:strCache>
                      <c:ptCount val="1"/>
                      <c:pt idx="0">
                        <c:v>netLiqValue</c:v>
                      </c:pt>
                    </c:strCache>
                  </c:strRef>
                </c:tx>
                <c:spPr>
                  <a:ln w="19050" cap="rnd">
                    <a:solidFill>
                      <a:srgbClr val="3A8E7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Performance!$A$2:$A$288</c15:sqref>
                        </c15:formulaRef>
                      </c:ext>
                    </c:extLst>
                    <c:numCache>
                      <c:formatCode>m/d/yyyy\ h:mm</c:formatCode>
                      <c:ptCount val="28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Performance!$B$2:$B$288</c15:sqref>
                        </c15:formulaRef>
                      </c:ext>
                    </c:extLst>
                    <c:numCache>
                      <c:formatCode>General</c:formatCode>
                      <c:ptCount val="287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30D-4F24-95F8-768893DA4DE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Performance!$F$1</c15:sqref>
                        </c15:formulaRef>
                      </c:ext>
                    </c:extLst>
                    <c:strCache>
                      <c:ptCount val="1"/>
                      <c:pt idx="0">
                        <c:v>cashBalance</c:v>
                      </c:pt>
                    </c:strCache>
                  </c:strRef>
                </c:tx>
                <c:spPr>
                  <a:ln w="19050" cap="rnd">
                    <a:solidFill>
                      <a:srgbClr val="B2B2B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Performance!$A$2:$A$288</c15:sqref>
                        </c15:formulaRef>
                      </c:ext>
                    </c:extLst>
                    <c:numCache>
                      <c:formatCode>m/d/yyyy\ h:mm</c:formatCode>
                      <c:ptCount val="2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Performance!$F$2:$F$288</c15:sqref>
                        </c15:formulaRef>
                      </c:ext>
                    </c:extLst>
                    <c:numCache>
                      <c:formatCode>General</c:formatCode>
                      <c:ptCount val="287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30D-4F24-95F8-768893DA4DE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strRef>
              <c:f>Performance!$E$1</c:f>
              <c:strCache>
                <c:ptCount val="1"/>
                <c:pt idx="0">
                  <c:v>unrealizedPL</c:v>
                </c:pt>
              </c:strCache>
            </c:strRef>
          </c:tx>
          <c:spPr>
            <a:ln w="19050" cap="rnd">
              <a:solidFill>
                <a:srgbClr val="1C84B2"/>
              </a:solidFill>
              <a:round/>
            </a:ln>
            <a:effectLst/>
          </c:spPr>
          <c:marker>
            <c:symbol val="none"/>
          </c:marker>
          <c:xVal>
            <c:numRef>
              <c:f>Performance!$A$2:$A$288</c:f>
              <c:numCache>
                <c:formatCode>m/d/yyyy\ h:mm</c:formatCode>
                <c:ptCount val="287"/>
              </c:numCache>
            </c:numRef>
          </c:xVal>
          <c:yVal>
            <c:numRef>
              <c:f>Performance!$E$2:$E$288</c:f>
              <c:numCache>
                <c:formatCode>General</c:formatCode>
                <c:ptCount val="28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D-4F24-95F8-768893DA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167832"/>
        <c:axId val="665166192"/>
        <c:extLst/>
      </c:scatterChart>
      <c:valAx>
        <c:axId val="66520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9160"/>
        <c:crosses val="autoZero"/>
        <c:crossBetween val="midCat"/>
      </c:valAx>
      <c:valAx>
        <c:axId val="66520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06060"/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208504"/>
        <c:crosses val="autoZero"/>
        <c:crossBetween val="midCat"/>
      </c:valAx>
      <c:valAx>
        <c:axId val="665166192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anose="020B0604020202030204" pitchFamily="34" charset="0"/>
                <a:ea typeface="+mn-ea"/>
                <a:cs typeface="+mn-cs"/>
              </a:defRPr>
            </a:pPr>
            <a:endParaRPr lang="de-DE"/>
          </a:p>
        </c:txPr>
        <c:crossAx val="665167832"/>
        <c:crosses val="max"/>
        <c:crossBetween val="midCat"/>
      </c:valAx>
      <c:valAx>
        <c:axId val="6651678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665166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elvetica" panose="020B060402020203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CCCCC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14006</xdr:colOff>
      <xdr:row>43</xdr:row>
      <xdr:rowOff>123825</xdr:rowOff>
    </xdr:from>
    <xdr:to>
      <xdr:col>29</xdr:col>
      <xdr:colOff>0</xdr:colOff>
      <xdr:row>66</xdr:row>
      <xdr:rowOff>61072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1959</xdr:colOff>
      <xdr:row>23</xdr:row>
      <xdr:rowOff>0</xdr:rowOff>
    </xdr:from>
    <xdr:to>
      <xdr:col>29</xdr:col>
      <xdr:colOff>0</xdr:colOff>
      <xdr:row>42</xdr:row>
      <xdr:rowOff>104774</xdr:rowOff>
    </xdr:to>
    <xdr:graphicFrame macro="">
      <xdr:nvGraphicFramePr>
        <xdr:cNvPr id="5" name="Chart 4" title="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76200</xdr:colOff>
      <xdr:row>1</xdr:row>
      <xdr:rowOff>28575</xdr:rowOff>
    </xdr:from>
    <xdr:to>
      <xdr:col>9</xdr:col>
      <xdr:colOff>184785</xdr:colOff>
      <xdr:row>2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19075"/>
          <a:ext cx="2124075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123825</xdr:rowOff>
        </xdr:from>
        <xdr:to>
          <xdr:col>16</xdr:col>
          <xdr:colOff>133350</xdr:colOff>
          <xdr:row>1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lury" refreshedDate="42457.853559953706" createdVersion="4" refreshedVersion="6" minRefreshableVersion="3" recordCount="794">
  <cacheSource type="worksheet">
    <worksheetSource ref="A1:M1048576" sheet="Trades"/>
  </cacheSource>
  <cacheFields count="14">
    <cacheField name="dateTime" numFmtId="0">
      <sharedItems containsNonDate="0" containsString="0" containsBlank="1"/>
    </cacheField>
    <cacheField name="type" numFmtId="0">
      <sharedItems containsNonDate="0" containsBlank="1" count="3">
        <m/>
        <s v="LONG" u="1"/>
        <s v="SHORT" u="1"/>
      </sharedItems>
    </cacheField>
    <cacheField name="quantity" numFmtId="0">
      <sharedItems containsNonDate="0" containsString="0" containsBlank="1"/>
    </cacheField>
    <cacheField name="security" numFmtId="0">
      <sharedItems containsNonDate="0" containsBlank="1" count="3">
        <m/>
        <s v="DAX" u="1"/>
        <s v="EUR.USD" u="1"/>
      </sharedItems>
    </cacheField>
    <cacheField name="currency" numFmtId="0">
      <sharedItems containsNonDate="0" containsBlank="1" count="2">
        <m/>
        <s v="USD" u="1"/>
      </sharedItems>
    </cacheField>
    <cacheField name="strategy" numFmtId="0">
      <sharedItems containsNonDate="0" containsBlank="1" count="3">
        <m/>
        <s v="OPENRANGE" u="1"/>
        <s v="BOX" u="1"/>
      </sharedItems>
    </cacheField>
    <cacheField name="profit" numFmtId="0">
      <sharedItems containsNonDate="0" containsString="0" containsBlank="1"/>
    </cacheField>
    <cacheField name="profitPct" numFmtId="0">
      <sharedItems containsNonDate="0" containsString="0" containsBlank="1"/>
    </cacheField>
    <cacheField name="winning" numFmtId="0">
      <sharedItems containsNonDate="0" containsString="0" containsBlank="1"/>
    </cacheField>
    <cacheField name="date" numFmtId="0">
      <sharedItems containsNonDate="0" containsDate="1" containsString="0" containsBlank="1" minDate="1899-12-30T00:00:00" maxDate="2014-02-19T00:00:00" count="945">
        <d v="1899-12-30T00:00:00"/>
        <m/>
        <d v="2011-09-29T00:00:00" u="1"/>
        <d v="2012-09-29T00:00:00" u="1"/>
        <d v="2013-09-29T00:00:00" u="1"/>
        <d v="2012-10-25T00:00:00" u="1"/>
        <d v="2013-10-25T00:00:00" u="1"/>
        <d v="2012-11-21T00:00:00" u="1"/>
        <d v="2013-11-21T00:00:00" u="1"/>
        <d v="2012-12-17T00:00:00" u="1"/>
        <d v="2013-12-17T00:00:00" u="1"/>
        <d v="2012-10-27T00:00:00" u="1"/>
        <d v="2013-10-27T00:00:00" u="1"/>
        <d v="2012-11-23T00:00:00" u="1"/>
        <d v="2011-12-19T00:00:00" u="1"/>
        <d v="2013-11-23T00:00:00" u="1"/>
        <d v="2012-12-19T00:00:00" u="1"/>
        <d v="2013-12-19T00:00:00" u="1"/>
        <d v="2012-10-29T00:00:00" u="1"/>
        <d v="2011-11-25T00:00:00" u="1"/>
        <d v="2013-10-29T00:00:00" u="1"/>
        <d v="2012-11-25T00:00:00" u="1"/>
        <d v="2011-12-21T00:00:00" u="1"/>
        <d v="2013-11-25T00:00:00" u="1"/>
        <d v="2012-12-21T00:00:00" u="1"/>
        <d v="2013-12-21T00:00:00" u="1"/>
        <d v="2012-01-02T00:00:00" u="1"/>
        <d v="2013-01-02T00:00:00" u="1"/>
        <d v="2014-01-02T00:00:00" u="1"/>
        <d v="2011-10-31T00:00:00" u="1"/>
        <d v="2012-10-31T00:00:00" u="1"/>
        <d v="2013-10-31T00:00:00" u="1"/>
        <d v="2012-11-27T00:00:00" u="1"/>
        <d v="2011-12-23T00:00:00" u="1"/>
        <d v="2013-11-27T00:00:00" u="1"/>
        <d v="2012-12-23T00:00:00" u="1"/>
        <d v="2013-12-23T00:00:00" u="1"/>
        <d v="2012-01-04T00:00:00" u="1"/>
        <d v="2013-01-04T00:00:00" u="1"/>
        <d v="2014-01-04T00:00:00" u="1"/>
        <d v="2011-11-29T00:00:00" u="1"/>
        <d v="2012-11-29T00:00:00" u="1"/>
        <d v="2011-12-25T00:00:00" u="1"/>
        <d v="2013-11-29T00:00:00" u="1"/>
        <d v="2012-12-25T00:00:00" u="1"/>
        <d v="2013-12-25T00:00:00" u="1"/>
        <d v="2012-01-06T00:00:00" u="1"/>
        <d v="2013-01-06T00:00:00" u="1"/>
        <d v="2012-02-02T00:00:00" u="1"/>
        <d v="2014-01-06T00:00:00" u="1"/>
        <d v="2013-02-02T00:00:00" u="1"/>
        <d v="2014-02-02T00:00:00" u="1"/>
        <d v="2011-12-27T00:00:00" u="1"/>
        <d v="2012-12-27T00:00:00" u="1"/>
        <d v="2013-12-27T00:00:00" u="1"/>
        <d v="2012-01-08T00:00:00" u="1"/>
        <d v="2013-01-08T00:00:00" u="1"/>
        <d v="2012-02-04T00:00:00" u="1"/>
        <d v="2014-01-08T00:00:00" u="1"/>
        <d v="2013-02-04T00:00:00" u="1"/>
        <d v="2014-02-04T00:00:00" u="1"/>
        <d v="2011-12-29T00:00:00" u="1"/>
        <d v="2012-12-29T00:00:00" u="1"/>
        <d v="2013-12-29T00:00:00" u="1"/>
        <d v="2012-01-10T00:00:00" u="1"/>
        <d v="2013-01-10T00:00:00" u="1"/>
        <d v="2012-02-06T00:00:00" u="1"/>
        <d v="2014-01-10T00:00:00" u="1"/>
        <d v="2013-02-06T00:00:00" u="1"/>
        <d v="2012-03-02T00:00:00" u="1"/>
        <d v="2014-02-06T00:00:00" u="1"/>
        <d v="2013-03-02T00:00:00" u="1"/>
        <d v="2011-12-31T00:00:00" u="1"/>
        <d v="2012-12-31T00:00:00" u="1"/>
        <d v="2013-12-31T00:00:00" u="1"/>
        <d v="2010-02-08T00:00:00" u="1"/>
        <d v="2012-01-12T00:00:00" u="1"/>
        <d v="2013-01-12T00:00:00" u="1"/>
        <d v="2012-02-08T00:00:00" u="1"/>
        <d v="2014-01-12T00:00:00" u="1"/>
        <d v="2013-02-08T00:00:00" u="1"/>
        <d v="2012-03-04T00:00:00" u="1"/>
        <d v="2014-02-08T00:00:00" u="1"/>
        <d v="2013-03-04T00:00:00" u="1"/>
        <d v="2012-01-14T00:00:00" u="1"/>
        <d v="2013-01-14T00:00:00" u="1"/>
        <d v="2012-02-10T00:00:00" u="1"/>
        <d v="2014-01-14T00:00:00" u="1"/>
        <d v="2013-02-10T00:00:00" u="1"/>
        <d v="2012-03-06T00:00:00" u="1"/>
        <d v="2014-02-10T00:00:00" u="1"/>
        <d v="2013-03-06T00:00:00" u="1"/>
        <d v="2012-04-02T00:00:00" u="1"/>
        <d v="2013-04-02T00:00:00" u="1"/>
        <d v="2012-01-16T00:00:00" u="1"/>
        <d v="2013-01-16T00:00:00" u="1"/>
        <d v="2012-02-12T00:00:00" u="1"/>
        <d v="2014-01-16T00:00:00" u="1"/>
        <d v="2013-02-12T00:00:00" u="1"/>
        <d v="2012-03-08T00:00:00" u="1"/>
        <d v="2014-02-12T00:00:00" u="1"/>
        <d v="2013-03-08T00:00:00" u="1"/>
        <d v="2012-04-04T00:00:00" u="1"/>
        <d v="2013-04-04T00:00:00" u="1"/>
        <d v="2012-01-18T00:00:00" u="1"/>
        <d v="2013-01-18T00:00:00" u="1"/>
        <d v="2012-02-14T00:00:00" u="1"/>
        <d v="2014-01-18T00:00:00" u="1"/>
        <d v="2011-03-10T00:00:00" u="1"/>
        <d v="2013-02-14T00:00:00" u="1"/>
        <d v="2012-03-10T00:00:00" u="1"/>
        <d v="2014-02-14T00:00:00" u="1"/>
        <d v="2013-03-10T00:00:00" u="1"/>
        <d v="2012-04-06T00:00:00" u="1"/>
        <d v="2013-04-06T00:00:00" u="1"/>
        <d v="2012-05-02T00:00:00" u="1"/>
        <d v="2013-05-02T00:00:00" u="1"/>
        <d v="2012-01-20T00:00:00" u="1"/>
        <d v="2013-01-20T00:00:00" u="1"/>
        <d v="2012-02-16T00:00:00" u="1"/>
        <d v="2014-01-20T00:00:00" u="1"/>
        <d v="2013-02-16T00:00:00" u="1"/>
        <d v="2012-03-12T00:00:00" u="1"/>
        <d v="2014-02-16T00:00:00" u="1"/>
        <d v="2013-03-12T00:00:00" u="1"/>
        <d v="2012-04-08T00:00:00" u="1"/>
        <d v="2011-05-04T00:00:00" u="1"/>
        <d v="2013-04-08T00:00:00" u="1"/>
        <d v="2012-05-04T00:00:00" u="1"/>
        <d v="2013-05-04T00:00:00" u="1"/>
        <d v="2012-01-22T00:00:00" u="1"/>
        <d v="2013-01-22T00:00:00" u="1"/>
        <d v="2012-02-18T00:00:00" u="1"/>
        <d v="2014-01-22T00:00:00" u="1"/>
        <d v="2011-03-14T00:00:00" u="1"/>
        <d v="2013-02-18T00:00:00" u="1"/>
        <d v="2012-03-14T00:00:00" u="1"/>
        <d v="2014-02-18T00:00:00" u="1"/>
        <d v="2013-03-14T00:00:00" u="1"/>
        <d v="2010-05-06T00:00:00" u="1"/>
        <d v="2012-04-10T00:00:00" u="1"/>
        <d v="2013-04-10T00:00:00" u="1"/>
        <d v="2012-05-06T00:00:00" u="1"/>
        <d v="2013-05-06T00:00:00" u="1"/>
        <d v="2012-06-02T00:00:00" u="1"/>
        <d v="2013-06-02T00:00:00" u="1"/>
        <d v="2012-01-24T00:00:00" u="1"/>
        <d v="2013-01-24T00:00:00" u="1"/>
        <d v="2012-02-20T00:00:00" u="1"/>
        <d v="2014-01-24T00:00:00" u="1"/>
        <d v="2011-03-16T00:00:00" u="1"/>
        <d v="2013-02-20T00:00:00" u="1"/>
        <d v="2012-03-16T00:00:00" u="1"/>
        <d v="2013-03-16T00:00:00" u="1"/>
        <d v="2010-05-08T00:00:00" u="1"/>
        <d v="2012-04-12T00:00:00" u="1"/>
        <d v="2013-04-12T00:00:00" u="1"/>
        <d v="2012-05-08T00:00:00" u="1"/>
        <d v="2013-05-08T00:00:00" u="1"/>
        <d v="2012-06-04T00:00:00" u="1"/>
        <d v="2013-06-04T00:00:00" u="1"/>
        <d v="2010-01-26T00:00:00" u="1"/>
        <d v="2010-02-22T00:00:00" u="1"/>
        <d v="2012-01-26T00:00:00" u="1"/>
        <d v="2013-01-26T00:00:00" u="1"/>
        <d v="2012-02-22T00:00:00" u="1"/>
        <d v="2014-01-26T00:00:00" u="1"/>
        <d v="2011-03-18T00:00:00" u="1"/>
        <d v="2013-02-22T00:00:00" u="1"/>
        <d v="2012-03-18T00:00:00" u="1"/>
        <d v="2013-03-18T00:00:00" u="1"/>
        <d v="2012-04-14T00:00:00" u="1"/>
        <d v="2013-04-14T00:00:00" u="1"/>
        <d v="2012-05-10T00:00:00" u="1"/>
        <d v="2013-05-10T00:00:00" u="1"/>
        <d v="2012-06-06T00:00:00" u="1"/>
        <d v="2013-06-06T00:00:00" u="1"/>
        <d v="2012-07-02T00:00:00" u="1"/>
        <d v="2013-07-02T00:00:00" u="1"/>
        <d v="2012-01-28T00:00:00" u="1"/>
        <d v="2011-02-24T00:00:00" u="1"/>
        <d v="2013-01-28T00:00:00" u="1"/>
        <d v="2012-02-24T00:00:00" u="1"/>
        <d v="2014-01-28T00:00:00" u="1"/>
        <d v="2013-02-24T00:00:00" u="1"/>
        <d v="2012-03-20T00:00:00" u="1"/>
        <d v="2013-03-20T00:00:00" u="1"/>
        <d v="2012-04-16T00:00:00" u="1"/>
        <d v="2013-04-16T00:00:00" u="1"/>
        <d v="2010-06-08T00:00:00" u="1"/>
        <d v="2012-05-12T00:00:00" u="1"/>
        <d v="2011-06-08T00:00:00" u="1"/>
        <d v="2013-05-12T00:00:00" u="1"/>
        <d v="2012-06-08T00:00:00" u="1"/>
        <d v="2013-06-08T00:00:00" u="1"/>
        <d v="2012-07-04T00:00:00" u="1"/>
        <d v="2013-07-04T00:00:00" u="1"/>
        <d v="2010-01-30T00:00:00" u="1"/>
        <d v="2012-01-30T00:00:00" u="1"/>
        <d v="2013-01-30T00:00:00" u="1"/>
        <d v="2012-02-26T00:00:00" u="1"/>
        <d v="2014-01-30T00:00:00" u="1"/>
        <d v="2011-03-22T00:00:00" u="1"/>
        <d v="2013-02-26T00:00:00" u="1"/>
        <d v="2012-03-22T00:00:00" u="1"/>
        <d v="2013-03-22T00:00:00" u="1"/>
        <d v="2010-05-14T00:00:00" u="1"/>
        <d v="2012-04-18T00:00:00" u="1"/>
        <d v="2013-04-18T00:00:00" u="1"/>
        <d v="2012-05-14T00:00:00" u="1"/>
        <d v="2013-05-14T00:00:00" u="1"/>
        <d v="2012-06-10T00:00:00" u="1"/>
        <d v="2013-06-10T00:00:00" u="1"/>
        <d v="2012-07-06T00:00:00" u="1"/>
        <d v="2011-08-02T00:00:00" u="1"/>
        <d v="2013-07-06T00:00:00" u="1"/>
        <d v="2012-08-02T00:00:00" u="1"/>
        <d v="2013-08-02T00:00:00" u="1"/>
        <d v="2012-02-28T00:00:00" u="1"/>
        <d v="2011-03-24T00:00:00" u="1"/>
        <d v="2013-02-28T00:00:00" u="1"/>
        <d v="2012-03-24T00:00:00" u="1"/>
        <d v="2013-03-24T00:00:00" u="1"/>
        <d v="2012-04-20T00:00:00" u="1"/>
        <d v="2013-04-20T00:00:00" u="1"/>
        <d v="2012-05-16T00:00:00" u="1"/>
        <d v="2013-05-16T00:00:00" u="1"/>
        <d v="2012-06-12T00:00:00" u="1"/>
        <d v="2013-06-12T00:00:00" u="1"/>
        <d v="2012-07-08T00:00:00" u="1"/>
        <d v="2011-08-04T00:00:00" u="1"/>
        <d v="2013-07-08T00:00:00" u="1"/>
        <d v="2012-08-04T00:00:00" u="1"/>
        <d v="2013-08-04T00:00:00" u="1"/>
        <d v="2012-03-26T00:00:00" u="1"/>
        <d v="2013-03-26T00:00:00" u="1"/>
        <d v="2010-05-18T00:00:00" u="1"/>
        <d v="2012-04-22T00:00:00" u="1"/>
        <d v="2013-04-22T00:00:00" u="1"/>
        <d v="2012-05-18T00:00:00" u="1"/>
        <d v="2013-05-18T00:00:00" u="1"/>
        <d v="2012-06-14T00:00:00" u="1"/>
        <d v="2013-06-14T00:00:00" u="1"/>
        <d v="2012-07-10T00:00:00" u="1"/>
        <d v="2011-08-06T00:00:00" u="1"/>
        <d v="2013-07-10T00:00:00" u="1"/>
        <d v="2012-08-06T00:00:00" u="1"/>
        <d v="2013-08-06T00:00:00" u="1"/>
        <d v="2012-09-02T00:00:00" u="1"/>
        <d v="2013-09-02T00:00:00" u="1"/>
        <d v="2012-03-28T00:00:00" u="1"/>
        <d v="2013-03-28T00:00:00" u="1"/>
        <d v="2012-04-24T00:00:00" u="1"/>
        <d v="2013-04-24T00:00:00" u="1"/>
        <d v="2012-05-20T00:00:00" u="1"/>
        <d v="2013-05-20T00:00:00" u="1"/>
        <d v="2012-06-16T00:00:00" u="1"/>
        <d v="2013-06-16T00:00:00" u="1"/>
        <d v="2012-07-12T00:00:00" u="1"/>
        <d v="2011-08-08T00:00:00" u="1"/>
        <d v="2013-07-12T00:00:00" u="1"/>
        <d v="2012-08-08T00:00:00" u="1"/>
        <d v="2013-08-08T00:00:00" u="1"/>
        <d v="2012-09-04T00:00:00" u="1"/>
        <d v="2013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13-04-26T00:00:00" u="1"/>
        <d v="2012-05-22T00:00:00" u="1"/>
        <d v="2013-05-22T00:00:00" u="1"/>
        <d v="2012-06-18T00:00:00" u="1"/>
        <d v="2013-06-18T00:00:00" u="1"/>
        <d v="2012-07-14T00:00:00" u="1"/>
        <d v="2011-08-10T00:00:00" u="1"/>
        <d v="2013-07-14T00:00:00" u="1"/>
        <d v="2012-08-10T00:00:00" u="1"/>
        <d v="2011-09-06T00:00:00" u="1"/>
        <d v="2013-08-10T00:00:00" u="1"/>
        <d v="2012-09-06T00:00:00" u="1"/>
        <d v="2013-09-06T00:00:00" u="1"/>
        <d v="2012-10-02T00:00:00" u="1"/>
        <d v="2013-10-02T00:00:00" u="1"/>
        <d v="2010-05-24T00:00:00" u="1"/>
        <d v="2012-04-28T00:00:00" u="1"/>
        <d v="2011-05-24T00:00:00" u="1"/>
        <d v="2013-04-28T00:00:00" u="1"/>
        <d v="2012-05-24T00:00:00" u="1"/>
        <d v="2013-05-24T00:00:00" u="1"/>
        <d v="2010-07-16T00:00:00" u="1"/>
        <d v="2012-06-20T00:00:00" u="1"/>
        <d v="2013-06-20T00:00:00" u="1"/>
        <d v="2010-08-12T00:00:00" u="1"/>
        <d v="2012-07-16T00:00:00" u="1"/>
        <d v="2011-08-12T00:00:00" u="1"/>
        <d v="2013-07-16T00:00:00" u="1"/>
        <d v="2012-08-12T00:00:00" u="1"/>
        <d v="2013-08-12T00:00:00" u="1"/>
        <d v="2012-09-08T00:00:00" u="1"/>
        <d v="2011-10-04T00:00:00" u="1"/>
        <d v="2013-09-08T00:00:00" u="1"/>
        <d v="2012-10-04T00:00:00" u="1"/>
        <d v="2013-10-04T00:00:00" u="1"/>
        <d v="2010-04-30T00:00:00" u="1"/>
        <d v="2010-05-26T00:00:00" u="1"/>
        <d v="2012-04-30T00:00:00" u="1"/>
        <d v="2013-04-30T00:00:00" u="1"/>
        <d v="2010-06-22T00:00:00" u="1"/>
        <d v="2012-05-26T00:00:00" u="1"/>
        <d v="2011-06-22T00:00:00" u="1"/>
        <d v="2013-05-26T00:00:00" u="1"/>
        <d v="2012-06-22T00:00:00" u="1"/>
        <d v="2011-07-18T00:00:00" u="1"/>
        <d v="2013-06-22T00:00:00" u="1"/>
        <d v="2012-07-18T00:00:00" u="1"/>
        <d v="2013-07-18T00:00:00" u="1"/>
        <d v="2012-08-14T00:00:00" u="1"/>
        <d v="2011-09-10T00:00:00" u="1"/>
        <d v="2013-08-14T00:00:00" u="1"/>
        <d v="2012-09-10T00:00:00" u="1"/>
        <d v="2011-10-06T00:00:00" u="1"/>
        <d v="2013-09-10T00:00:00" u="1"/>
        <d v="2012-10-06T00:00:00" u="1"/>
        <d v="2011-11-02T00:00:00" u="1"/>
        <d v="2013-10-06T00:00:00" u="1"/>
        <d v="2012-11-02T00:00:00" u="1"/>
        <d v="2013-11-02T00:00:00" u="1"/>
        <d v="2012-05-28T00:00:00" u="1"/>
        <d v="2013-05-28T00:00:00" u="1"/>
        <d v="2012-06-24T00:00:00" u="1"/>
        <d v="2013-06-24T00:00:00" u="1"/>
        <d v="2012-07-20T00:00:00" u="1"/>
        <d v="2011-08-16T00:00:00" u="1"/>
        <d v="2013-07-20T00:00:00" u="1"/>
        <d v="2012-08-16T00:00:00" u="1"/>
        <d v="2011-09-12T00:00:00" u="1"/>
        <d v="2013-08-16T00:00:00" u="1"/>
        <d v="2012-09-12T00:00:00" u="1"/>
        <d v="2013-09-12T00:00:00" u="1"/>
        <d v="2012-10-08T00:00:00" u="1"/>
        <d v="2013-10-08T00:00:00" u="1"/>
        <d v="2012-11-04T00:00:00" u="1"/>
        <d v="2013-11-04T00:00:00" u="1"/>
        <d v="2012-05-30T00:00:00" u="1"/>
        <d v="2013-05-30T00:00:00" u="1"/>
        <d v="2012-06-26T00:00:00" u="1"/>
        <d v="2013-06-26T00:00:00" u="1"/>
        <d v="2012-07-22T00:00:00" u="1"/>
        <d v="2013-07-22T00:00:00" u="1"/>
        <d v="2012-08-18T00:00:00" u="1"/>
        <d v="2011-09-14T00:00:00" u="1"/>
        <d v="2013-08-18T00:00:00" u="1"/>
        <d v="2012-09-14T00:00:00" u="1"/>
        <d v="2011-10-10T00:00:00" u="1"/>
        <d v="2013-09-14T00:00:00" u="1"/>
        <d v="2012-10-10T00:00:00" u="1"/>
        <d v="2013-10-10T00:00:00" u="1"/>
        <d v="2010-12-02T00:00:00" u="1"/>
        <d v="2012-11-06T00:00:00" u="1"/>
        <d v="2011-12-02T00:00:00" u="1"/>
        <d v="2013-11-06T00:00:00" u="1"/>
        <d v="2012-12-02T00:00:00" u="1"/>
        <d v="2013-12-02T00:00:00" u="1"/>
        <d v="2011-06-28T00:00:00" u="1"/>
        <d v="2012-06-28T00:00:00" u="1"/>
        <d v="2013-06-28T00:00:00" u="1"/>
        <d v="2012-07-24T00:00:00" u="1"/>
        <d v="2011-08-20T00:00:00" u="1"/>
        <d v="2013-07-24T00:00:00" u="1"/>
        <d v="2012-08-20T00:00:00" u="1"/>
        <d v="2011-09-16T00:00:00" u="1"/>
        <d v="2013-08-20T00:00:00" u="1"/>
        <d v="2012-09-16T00:00:00" u="1"/>
        <d v="2011-10-12T00:00:00" u="1"/>
        <d v="2013-09-16T00:00:00" u="1"/>
        <d v="2012-10-12T00:00:00" u="1"/>
        <d v="2011-11-08T00:00:00" u="1"/>
        <d v="2013-10-12T00:00:00" u="1"/>
        <d v="2012-11-08T00:00:00" u="1"/>
        <d v="2013-11-08T00:00:00" u="1"/>
        <d v="2012-12-04T00:00:00" u="1"/>
        <d v="2013-12-04T00:00:00" u="1"/>
        <d v="2012-06-30T00:00:00" u="1"/>
        <d v="2013-06-30T00:00:00" u="1"/>
        <d v="2012-07-26T00:00:00" u="1"/>
        <d v="2011-08-22T00:00:00" u="1"/>
        <d v="2013-07-26T00:00:00" u="1"/>
        <d v="2012-08-22T00:00:00" u="1"/>
        <d v="2013-08-22T00:00:00" u="1"/>
        <d v="2012-09-18T00:00:00" u="1"/>
        <d v="2013-09-18T00:00:00" u="1"/>
        <d v="2012-10-14T00:00:00" u="1"/>
        <d v="2013-10-14T00:00:00" u="1"/>
        <d v="2012-11-10T00:00:00" u="1"/>
        <d v="2011-12-06T00:00:00" u="1"/>
        <d v="2013-11-10T00:00:00" u="1"/>
        <d v="2012-12-06T00:00:00" u="1"/>
        <d v="2013-12-06T00:00:00" u="1"/>
        <d v="2010-07-28T00:00:00" u="1"/>
        <d v="2011-07-28T00:00:00" u="1"/>
        <d v="2012-07-28T00:00:00" u="1"/>
        <d v="2011-08-24T00:00:00" u="1"/>
        <d v="2013-07-28T00:00:00" u="1"/>
        <d v="2012-08-24T00:00:00" u="1"/>
        <d v="2011-09-20T00:00:00" u="1"/>
        <d v="2013-08-24T00:00:00" u="1"/>
        <d v="2012-09-20T00:00:00" u="1"/>
        <d v="2013-09-20T00:00:00" u="1"/>
        <d v="2010-11-12T00:00:00" u="1"/>
        <d v="2012-10-16T00:00:00" u="1"/>
        <d v="2013-10-16T00:00:00" u="1"/>
        <d v="2012-11-12T00:00:00" u="1"/>
        <d v="2013-11-12T00:00:00" u="1"/>
        <d v="2012-12-08T00:00:00" u="1"/>
        <d v="2013-12-08T00:00:00" u="1"/>
        <d v="2011-07-30T00:00:00" u="1"/>
        <d v="2012-07-30T00:00:00" u="1"/>
        <d v="2011-08-26T00:00:00" u="1"/>
        <d v="2013-07-30T00:00:00" u="1"/>
        <d v="2012-08-26T00:00:00" u="1"/>
        <d v="2011-09-22T00:00:00" u="1"/>
        <d v="2013-08-26T00:00:00" u="1"/>
        <d v="2012-09-22T00:00:00" u="1"/>
        <d v="2011-10-18T00:00:00" u="1"/>
        <d v="2013-09-22T00:00:00" u="1"/>
        <d v="2012-10-18T00:00:00" u="1"/>
        <d v="2011-11-14T00:00:00" u="1"/>
        <d v="2013-10-18T00:00:00" u="1"/>
        <d v="2012-11-14T00:00:00" u="1"/>
        <d v="2013-11-14T00:00:00" u="1"/>
        <d v="2012-12-10T00:00:00" u="1"/>
        <d v="2013-12-10T00:00:00" u="1"/>
        <d v="2012-08-28T00:00:00" u="1"/>
        <d v="2011-09-24T00:00:00" u="1"/>
        <d v="2013-08-28T00:00:00" u="1"/>
        <d v="2012-09-24T00:00:00" u="1"/>
        <d v="2011-10-20T00:00:00" u="1"/>
        <d v="2013-09-24T00:00:00" u="1"/>
        <d v="2012-10-20T00:00:00" u="1"/>
        <d v="2011-11-16T00:00:00" u="1"/>
        <d v="2013-10-20T00:00:00" u="1"/>
        <d v="2012-11-16T00:00:00" u="1"/>
        <d v="2011-12-12T00:00:00" u="1"/>
        <d v="2013-11-16T00:00:00" u="1"/>
        <d v="2012-12-12T00:00:00" u="1"/>
        <d v="2013-12-12T00:00:00" u="1"/>
        <d v="2012-08-30T00:00:00" u="1"/>
        <d v="2011-09-26T00:00:00" u="1"/>
        <d v="2013-08-30T00:00:00" u="1"/>
        <d v="2012-09-26T00:00:00" u="1"/>
        <d v="2013-09-26T00:00:00" u="1"/>
        <d v="2012-10-22T00:00:00" u="1"/>
        <d v="2011-11-18T00:00:00" u="1"/>
        <d v="2013-10-22T00:00:00" u="1"/>
        <d v="2012-11-18T00:00:00" u="1"/>
        <d v="2011-12-14T00:00:00" u="1"/>
        <d v="2013-11-18T00:00:00" u="1"/>
        <d v="2012-12-14T00:00:00" u="1"/>
        <d v="2013-12-14T00:00:00" u="1"/>
        <d v="2011-09-28T00:00:00" u="1"/>
        <d v="2012-09-28T00:00:00" u="1"/>
        <d v="2013-09-28T00:00:00" u="1"/>
        <d v="2012-10-24T00:00:00" u="1"/>
        <d v="2013-10-24T00:00:00" u="1"/>
        <d v="2012-11-20T00:00:00" u="1"/>
        <d v="2011-12-16T00:00:00" u="1"/>
        <d v="2013-11-20T00:00:00" u="1"/>
        <d v="2012-12-16T00:00:00" u="1"/>
        <d v="2013-12-16T00:00:00" u="1"/>
        <d v="2010-09-30T00:00:00" u="1"/>
        <d v="2011-09-30T00:00:00" u="1"/>
        <d v="2012-09-30T00:00:00" u="1"/>
        <d v="2013-09-30T00:00:00" u="1"/>
        <d v="2012-10-26T00:00:00" u="1"/>
        <d v="2013-10-26T00:00:00" u="1"/>
        <d v="2012-11-22T00:00:00" u="1"/>
        <d v="2013-11-22T00:00:00" u="1"/>
        <d v="2012-12-18T00:00:00" u="1"/>
        <d v="2013-12-18T00:00:00" u="1"/>
        <d v="2011-10-28T00:00:00" u="1"/>
        <d v="2012-10-28T00:00:00" u="1"/>
        <d v="2011-11-24T00:00:00" u="1"/>
        <d v="2013-10-28T00:00:00" u="1"/>
        <d v="2012-11-24T00:00:00" u="1"/>
        <d v="2011-12-20T00:00:00" u="1"/>
        <d v="2013-11-24T00:00:00" u="1"/>
        <d v="2012-12-20T00:00:00" u="1"/>
        <d v="2013-12-20T00:00:00" u="1"/>
        <d v="2012-01-01T00:00:00" u="1"/>
        <d v="2013-01-01T00:00:00" u="1"/>
        <d v="2014-01-01T00:00:00" u="1"/>
        <d v="2012-10-30T00:00:00" u="1"/>
        <d v="2011-11-26T00:00:00" u="1"/>
        <d v="2013-10-30T00:00:00" u="1"/>
        <d v="2012-11-26T00:00:00" u="1"/>
        <d v="2011-12-22T00:00:00" u="1"/>
        <d v="2013-11-26T00:00:00" u="1"/>
        <d v="2012-12-22T00:00:00" u="1"/>
        <d v="2013-12-22T00:00:00" u="1"/>
        <d v="2012-01-03T00:00:00" u="1"/>
        <d v="2013-01-03T00:00:00" u="1"/>
        <d v="2014-01-03T00:00:00" u="1"/>
        <d v="2011-11-28T00:00:00" u="1"/>
        <d v="2012-11-28T00:00:00" u="1"/>
        <d v="2011-12-24T00:00:00" u="1"/>
        <d v="2013-11-28T00:00:00" u="1"/>
        <d v="2012-12-24T00:00:00" u="1"/>
        <d v="2013-12-24T00:00:00" u="1"/>
        <d v="2012-01-05T00:00:00" u="1"/>
        <d v="2013-01-05T00:00:00" u="1"/>
        <d v="2012-02-01T00:00:00" u="1"/>
        <d v="2014-01-05T00:00:00" u="1"/>
        <d v="2013-02-01T00:00:00" u="1"/>
        <d v="2014-02-01T00:00:00" u="1"/>
        <d v="2011-11-30T00:00:00" u="1"/>
        <d v="2012-11-30T00:00:00" u="1"/>
        <d v="2011-12-26T00:00:00" u="1"/>
        <d v="2013-11-30T00:00:00" u="1"/>
        <d v="2012-12-26T00:00:00" u="1"/>
        <d v="2013-12-26T00:00:00" u="1"/>
        <d v="2012-01-07T00:00:00" u="1"/>
        <d v="2013-01-07T00:00:00" u="1"/>
        <d v="2012-02-03T00:00:00" u="1"/>
        <d v="2014-01-07T00:00:00" u="1"/>
        <d v="2013-02-03T00:00:00" u="1"/>
        <d v="2014-02-03T00:00:00" u="1"/>
        <d v="2011-12-28T00:00:00" u="1"/>
        <d v="2012-12-28T00:00:00" u="1"/>
        <d v="2013-12-28T00:00:00" u="1"/>
        <d v="2012-01-09T00:00:00" u="1"/>
        <d v="2013-01-09T00:00:00" u="1"/>
        <d v="2012-02-05T00:00:00" u="1"/>
        <d v="2014-01-09T00:00:00" u="1"/>
        <d v="2013-02-05T00:00:00" u="1"/>
        <d v="2012-03-01T00:00:00" u="1"/>
        <d v="2014-02-05T00:00:00" u="1"/>
        <d v="2013-03-01T00:00:00" u="1"/>
        <d v="2011-12-30T00:00:00" u="1"/>
        <d v="2012-12-30T00:00:00" u="1"/>
        <d v="2013-12-30T00:00:00" u="1"/>
        <d v="2012-01-11T00:00:00" u="1"/>
        <d v="2013-01-11T00:00:00" u="1"/>
        <d v="2012-02-07T00:00:00" u="1"/>
        <d v="2014-01-11T00:00:00" u="1"/>
        <d v="2013-02-07T00:00:00" u="1"/>
        <d v="2012-03-03T00:00:00" u="1"/>
        <d v="2014-02-07T00:00:00" u="1"/>
        <d v="2013-03-03T00:00:00" u="1"/>
        <d v="2010-02-09T00:00:00" u="1"/>
        <d v="2012-01-13T00:00:00" u="1"/>
        <d v="2013-01-13T00:00:00" u="1"/>
        <d v="2012-02-09T00:00:00" u="1"/>
        <d v="2014-01-13T00:00:00" u="1"/>
        <d v="2013-02-09T00:00:00" u="1"/>
        <d v="2012-03-05T00:00:00" u="1"/>
        <d v="2014-02-09T00:00:00" u="1"/>
        <d v="2013-03-05T00:00:00" u="1"/>
        <d v="2012-04-01T00:00:00" u="1"/>
        <d v="2013-04-01T00:00:00" u="1"/>
        <d v="2012-01-15T00:00:00" u="1"/>
        <d v="2013-01-15T00:00:00" u="1"/>
        <d v="2012-02-11T00:00:00" u="1"/>
        <d v="2014-01-15T00:00:00" u="1"/>
        <d v="2013-02-11T00:00:00" u="1"/>
        <d v="2012-03-07T00:00:00" u="1"/>
        <d v="2014-02-11T00:00:00" u="1"/>
        <d v="2013-03-07T00:00:00" u="1"/>
        <d v="2012-04-03T00:00:00" u="1"/>
        <d v="2013-04-03T00:00:00" u="1"/>
        <d v="2012-01-17T00:00:00" u="1"/>
        <d v="2013-01-17T00:00:00" u="1"/>
        <d v="2012-02-13T00:00:00" u="1"/>
        <d v="2014-01-17T00:00:00" u="1"/>
        <d v="2011-03-09T00:00:00" u="1"/>
        <d v="2013-02-13T00:00:00" u="1"/>
        <d v="2012-03-09T00:00:00" u="1"/>
        <d v="2014-02-13T00:00:00" u="1"/>
        <d v="2013-03-09T00:00:00" u="1"/>
        <d v="2012-04-05T00:00:00" u="1"/>
        <d v="2013-04-05T00:00:00" u="1"/>
        <d v="2012-05-01T00:00:00" u="1"/>
        <d v="2013-05-01T00:00:00" u="1"/>
        <d v="2012-01-19T00:00:00" u="1"/>
        <d v="2013-01-19T00:00:00" u="1"/>
        <d v="2012-02-15T00:00:00" u="1"/>
        <d v="2014-01-19T00:00:00" u="1"/>
        <d v="2013-02-15T00:00:00" u="1"/>
        <d v="2012-03-11T00:00:00" u="1"/>
        <d v="2014-02-15T00:00:00" u="1"/>
        <d v="2013-03-11T00:00:00" u="1"/>
        <d v="2012-04-07T00:00:00" u="1"/>
        <d v="2013-04-07T00:00:00" u="1"/>
        <d v="2012-05-03T00:00:00" u="1"/>
        <d v="2013-05-03T00:00:00" u="1"/>
        <d v="2010-02-17T00:00:00" u="1"/>
        <d v="2012-01-21T00:00:00" u="1"/>
        <d v="2013-01-21T00:00:00" u="1"/>
        <d v="2012-02-17T00:00:00" u="1"/>
        <d v="2014-01-21T00:00:00" u="1"/>
        <d v="2013-02-17T00:00:00" u="1"/>
        <d v="2012-03-13T00:00:00" u="1"/>
        <d v="2014-02-17T00:00:00" u="1"/>
        <d v="2013-03-13T00:00:00" u="1"/>
        <d v="2012-04-09T00:00:00" u="1"/>
        <d v="2011-05-05T00:00:00" u="1"/>
        <d v="2013-04-09T00:00:00" u="1"/>
        <d v="2010-06-01T00:00:00" u="1"/>
        <d v="2012-05-05T00:00:00" u="1"/>
        <d v="2013-05-05T00:00:00" u="1"/>
        <d v="2012-06-01T00:00:00" u="1"/>
        <d v="2013-06-01T00:00:00" u="1"/>
        <d v="2012-01-23T00:00:00" u="1"/>
        <d v="2013-01-23T00:00:00" u="1"/>
        <d v="2012-02-19T00:00:00" u="1"/>
        <d v="2014-01-23T00:00:00" u="1"/>
        <d v="2011-03-15T00:00:00" u="1"/>
        <d v="2013-02-19T00:00:00" u="1"/>
        <d v="2012-03-15T00:00:00" u="1"/>
        <d v="2013-03-15T00:00:00" u="1"/>
        <d v="2010-05-07T00:00:00" u="1"/>
        <d v="2012-04-11T00:00:00" u="1"/>
        <d v="2013-04-11T00:00:00" u="1"/>
        <d v="2012-05-07T00:00:00" u="1"/>
        <d v="2013-05-07T00:00:00" u="1"/>
        <d v="2012-06-03T00:00:00" u="1"/>
        <d v="2013-06-03T00:00:00" u="1"/>
        <d v="2012-01-25T00:00:00" u="1"/>
        <d v="2013-01-25T00:00:00" u="1"/>
        <d v="2012-02-21T00:00:00" u="1"/>
        <d v="2014-01-25T00:00:00" u="1"/>
        <d v="2011-03-17T00:00:00" u="1"/>
        <d v="2013-02-21T00:00:00" u="1"/>
        <d v="2012-03-17T00:00:00" u="1"/>
        <d v="2013-03-17T00:00:00" u="1"/>
        <d v="2012-04-13T00:00:00" u="1"/>
        <d v="2013-04-13T00:00:00" u="1"/>
        <d v="2012-05-09T00:00:00" u="1"/>
        <d v="2013-05-09T00:00:00" u="1"/>
        <d v="2012-06-05T00:00:00" u="1"/>
        <d v="2013-06-05T00:00:00" u="1"/>
        <d v="2012-07-01T00:00:00" u="1"/>
        <d v="2013-07-01T00:00:00" u="1"/>
        <d v="2010-01-27T00:00:00" u="1"/>
        <d v="2012-01-27T00:00:00" u="1"/>
        <d v="2013-01-27T00:00:00" u="1"/>
        <d v="2012-02-23T00:00:00" u="1"/>
        <d v="2014-01-27T00:00:00" u="1"/>
        <d v="2013-02-23T00:00:00" u="1"/>
        <d v="2012-03-19T00:00:00" u="1"/>
        <d v="2013-03-19T00:00:00" u="1"/>
        <d v="2010-05-11T00:00:00" u="1"/>
        <d v="2012-04-15T00:00:00" u="1"/>
        <d v="2013-04-15T00:00:00" u="1"/>
        <d v="2010-06-07T00:00:00" u="1"/>
        <d v="2012-05-11T00:00:00" u="1"/>
        <d v="2013-05-11T00:00:00" u="1"/>
        <d v="2012-06-07T00:00:00" u="1"/>
        <d v="2013-06-07T00:00:00" u="1"/>
        <d v="2012-07-03T00:00:00" u="1"/>
        <d v="2013-07-03T00:00:00" u="1"/>
        <d v="2010-01-29T00:00:00" u="1"/>
        <d v="2012-01-29T00:00:00" u="1"/>
        <d v="2013-01-29T00:00:00" u="1"/>
        <d v="2012-02-25T00:00:00" u="1"/>
        <d v="2014-01-29T00:00:00" u="1"/>
        <d v="2013-02-25T00:00:00" u="1"/>
        <d v="2012-03-21T00:00:00" u="1"/>
        <d v="2013-03-21T00:00:00" u="1"/>
        <d v="2010-05-13T00:00:00" u="1"/>
        <d v="2012-04-17T00:00:00" u="1"/>
        <d v="2013-04-17T00:00:00" u="1"/>
        <d v="2012-05-13T00:00:00" u="1"/>
        <d v="2013-05-13T00:00:00" u="1"/>
        <d v="2012-06-09T00:00:00" u="1"/>
        <d v="2013-06-09T00:00:00" u="1"/>
        <d v="2012-07-05T00:00:00" u="1"/>
        <d v="2011-08-01T00:00:00" u="1"/>
        <d v="2013-07-05T00:00:00" u="1"/>
        <d v="2012-08-01T00:00:00" u="1"/>
        <d v="2013-08-01T00:00:00" u="1"/>
        <d v="2012-01-31T00:00:00" u="1"/>
        <d v="2013-01-31T00:00:00" u="1"/>
        <d v="2012-02-27T00:00:00" u="1"/>
        <d v="2014-01-31T00:00:00" u="1"/>
        <d v="2011-03-23T00:00:00" u="1"/>
        <d v="2013-02-27T00:00:00" u="1"/>
        <d v="2012-03-23T00:00:00" u="1"/>
        <d v="2013-03-23T00:00:00" u="1"/>
        <d v="2012-04-19T00:00:00" u="1"/>
        <d v="2013-04-19T00:00:00" u="1"/>
        <d v="2012-05-15T00:00:00" u="1"/>
        <d v="2013-05-15T00:00:00" u="1"/>
        <d v="2012-06-11T00:00:00" u="1"/>
        <d v="2013-06-11T00:00:00" u="1"/>
        <d v="2012-07-07T00:00:00" u="1"/>
        <d v="2011-08-03T00:00:00" u="1"/>
        <d v="2013-07-07T00:00:00" u="1"/>
        <d v="2012-08-03T00:00:00" u="1"/>
        <d v="2013-08-03T00:00:00" u="1"/>
        <d v="2012-02-29T00:00:00" u="1"/>
        <d v="2012-03-25T00:00:00" u="1"/>
        <d v="2013-03-25T00:00:00" u="1"/>
        <d v="2012-04-21T00:00:00" u="1"/>
        <d v="2013-04-21T00:00:00" u="1"/>
        <d v="2012-05-17T00:00:00" u="1"/>
        <d v="2013-05-17T00:00:00" u="1"/>
        <d v="2012-06-13T00:00:00" u="1"/>
        <d v="2013-06-13T00:00:00" u="1"/>
        <d v="2012-07-09T00:00:00" u="1"/>
        <d v="2011-08-05T00:00:00" u="1"/>
        <d v="2013-07-09T00:00:00" u="1"/>
        <d v="2010-09-01T00:00:00" u="1"/>
        <d v="2012-08-05T00:00:00" u="1"/>
        <d v="2013-08-05T00:00:00" u="1"/>
        <d v="2012-09-01T00:00:00" u="1"/>
        <d v="2013-09-01T00:00:00" u="1"/>
        <d v="2012-03-27T00:00:00" u="1"/>
        <d v="2013-03-27T00:00:00" u="1"/>
        <d v="2010-05-19T00:00:00" u="1"/>
        <d v="2012-04-23T00:00:00" u="1"/>
        <d v="2013-04-23T00:00:00" u="1"/>
        <d v="2012-05-19T00:00:00" u="1"/>
        <d v="2013-05-19T00:00:00" u="1"/>
        <d v="2012-06-15T00:00:00" u="1"/>
        <d v="2013-06-15T00:00:00" u="1"/>
        <d v="2012-07-11T00:00:00" u="1"/>
        <d v="2013-07-11T00:00:00" u="1"/>
        <d v="2012-08-07T00:00:00" u="1"/>
        <d v="2013-08-07T00:00:00" u="1"/>
        <d v="2012-09-03T00:00:00" u="1"/>
        <d v="2013-09-03T00:00:00" u="1"/>
        <d v="2012-03-29T00:00:00" u="1"/>
        <d v="2013-03-29T00:00:00" u="1"/>
        <d v="2010-05-21T00:00:00" u="1"/>
        <d v="2012-04-25T00:00:00" u="1"/>
        <d v="2013-04-25T00:00:00" u="1"/>
        <d v="2012-05-21T00:00:00" u="1"/>
        <d v="2013-05-21T00:00:00" u="1"/>
        <d v="2012-06-17T00:00:00" u="1"/>
        <d v="2011-07-13T00:00:00" u="1"/>
        <d v="2013-06-17T00:00:00" u="1"/>
        <d v="2012-07-13T00:00:00" u="1"/>
        <d v="2011-08-09T00:00:00" u="1"/>
        <d v="2013-07-13T00:00:00" u="1"/>
        <d v="2012-08-09T00:00:00" u="1"/>
        <d v="2013-08-09T00:00:00" u="1"/>
        <d v="2010-10-01T00:00:00" u="1"/>
        <d v="2012-09-05T00:00:00" u="1"/>
        <d v="2013-09-05T00:00:00" u="1"/>
        <d v="2012-10-01T00:00:00" u="1"/>
        <d v="2013-10-01T00:00:00" u="1"/>
        <d v="2010-03-31T00:00:00" u="1"/>
        <d v="2010-04-27T00:00:00" u="1"/>
        <d v="2012-03-31T00:00:00" u="1"/>
        <d v="2013-03-31T00:00:00" u="1"/>
        <d v="2012-04-27T00:00:00" u="1"/>
        <d v="2011-05-23T00:00:00" u="1"/>
        <d v="2013-04-27T00:00:00" u="1"/>
        <d v="2012-05-23T00:00:00" u="1"/>
        <d v="2013-05-23T00:00:00" u="1"/>
        <d v="2010-07-15T00:00:00" u="1"/>
        <d v="2012-06-19T00:00:00" u="1"/>
        <d v="2013-06-19T00:00:00" u="1"/>
        <d v="2012-07-15T00:00:00" u="1"/>
        <d v="2011-08-11T00:00:00" u="1"/>
        <d v="2013-07-15T00:00:00" u="1"/>
        <d v="2012-08-11T00:00:00" u="1"/>
        <d v="2011-09-07T00:00:00" u="1"/>
        <d v="2013-08-11T00:00:00" u="1"/>
        <d v="2012-09-07T00:00:00" u="1"/>
        <d v="2013-09-07T00:00:00" u="1"/>
        <d v="2012-10-03T00:00:00" u="1"/>
        <d v="2013-10-03T00:00:00" u="1"/>
        <d v="2010-05-25T00:00:00" u="1"/>
        <d v="2012-04-29T00:00:00" u="1"/>
        <d v="2013-04-29T00:00:00" u="1"/>
        <d v="2012-05-25T00:00:00" u="1"/>
        <d v="2011-06-21T00:00:00" u="1"/>
        <d v="2013-05-25T00:00:00" u="1"/>
        <d v="2012-06-21T00:00:00" u="1"/>
        <d v="2013-06-21T00:00:00" u="1"/>
        <d v="2012-07-17T00:00:00" u="1"/>
        <d v="2013-07-17T00:00:00" u="1"/>
        <d v="2012-08-13T00:00:00" u="1"/>
        <d v="2011-09-09T00:00:00" u="1"/>
        <d v="2013-08-13T00:00:00" u="1"/>
        <d v="2012-09-09T00:00:00" u="1"/>
        <d v="2011-10-05T00:00:00" u="1"/>
        <d v="2013-09-09T00:00:00" u="1"/>
        <d v="2012-10-05T00:00:00" u="1"/>
        <d v="2011-11-01T00:00:00" u="1"/>
        <d v="2013-10-05T00:00:00" u="1"/>
        <d v="2012-11-01T00:00:00" u="1"/>
        <d v="2013-11-01T00:00:00" u="1"/>
        <d v="2010-05-27T00:00:00" u="1"/>
        <d v="2012-05-27T00:00:00" u="1"/>
        <d v="2013-05-27T00:00:00" u="1"/>
        <d v="2012-06-23T00:00:00" u="1"/>
        <d v="2011-07-19T00:00:00" u="1"/>
        <d v="2013-06-23T00:00:00" u="1"/>
        <d v="2012-07-19T00:00:00" u="1"/>
        <d v="2011-08-15T00:00:00" u="1"/>
        <d v="2013-07-19T00:00:00" u="1"/>
        <d v="2012-08-15T00:00:00" u="1"/>
        <d v="2013-08-15T00:00:00" u="1"/>
        <d v="2012-09-11T00:00:00" u="1"/>
        <d v="2011-10-07T00:00:00" u="1"/>
        <d v="2013-09-11T00:00:00" u="1"/>
        <d v="2012-10-07T00:00:00" u="1"/>
        <d v="2011-11-03T00:00:00" u="1"/>
        <d v="2013-10-07T00:00:00" u="1"/>
        <d v="2012-11-03T00:00:00" u="1"/>
        <d v="2013-11-03T00:00:00" u="1"/>
        <d v="2012-05-29T00:00:00" u="1"/>
        <d v="2013-05-29T00:00:00" u="1"/>
        <d v="2012-06-25T00:00:00" u="1"/>
        <d v="2013-06-25T00:00:00" u="1"/>
        <d v="2012-07-21T00:00:00" u="1"/>
        <d v="2011-08-17T00:00:00" u="1"/>
        <d v="2013-07-21T00:00:00" u="1"/>
        <d v="2012-08-17T00:00:00" u="1"/>
        <d v="2011-09-13T00:00:00" u="1"/>
        <d v="2013-08-17T00:00:00" u="1"/>
        <d v="2012-09-13T00:00:00" u="1"/>
        <d v="2013-09-13T00:00:00" u="1"/>
        <d v="2012-10-09T00:00:00" u="1"/>
        <d v="2013-10-09T00:00:00" u="1"/>
        <d v="2012-11-05T00:00:00" u="1"/>
        <d v="2013-11-05T00:00:00" u="1"/>
        <d v="2012-12-01T00:00:00" u="1"/>
        <d v="2013-12-01T00:00:00" u="1"/>
        <d v="2012-05-31T00:00:00" u="1"/>
        <d v="2013-05-31T00:00:00" u="1"/>
        <d v="2012-06-27T00:00:00" u="1"/>
        <d v="2013-06-27T00:00:00" u="1"/>
        <d v="2012-07-23T00:00:00" u="1"/>
        <d v="2011-08-19T00:00:00" u="1"/>
        <d v="2013-07-23T00:00:00" u="1"/>
        <d v="2012-08-19T00:00:00" u="1"/>
        <d v="2011-09-15T00:00:00" u="1"/>
        <d v="2013-08-19T00:00:00" u="1"/>
        <d v="2012-09-15T00:00:00" u="1"/>
        <d v="2011-10-11T00:00:00" u="1"/>
        <d v="2013-09-15T00:00:00" u="1"/>
        <d v="2012-10-11T00:00:00" u="1"/>
        <d v="2011-11-07T00:00:00" u="1"/>
        <d v="2013-10-11T00:00:00" u="1"/>
        <d v="2010-12-03T00:00:00" u="1"/>
        <d v="2012-11-07T00:00:00" u="1"/>
        <d v="2011-12-03T00:00:00" u="1"/>
        <d v="2013-11-07T00:00:00" u="1"/>
        <d v="2012-12-03T00:00:00" u="1"/>
        <d v="2013-12-03T00:00:00" u="1"/>
        <d v="2010-06-29T00:00:00" u="1"/>
        <d v="2011-06-29T00:00:00" u="1"/>
        <d v="2012-06-29T00:00:00" u="1"/>
        <d v="2013-06-29T00:00:00" u="1"/>
        <d v="2012-07-25T00:00:00" u="1"/>
        <d v="2013-07-25T00:00:00" u="1"/>
        <d v="2012-08-21T00:00:00" u="1"/>
        <d v="2013-08-21T00:00:00" u="1"/>
        <d v="2012-09-17T00:00:00" u="1"/>
        <d v="2013-09-17T00:00:00" u="1"/>
        <d v="2012-10-13T00:00:00" u="1"/>
        <d v="2011-11-09T00:00:00" u="1"/>
        <d v="2013-10-13T00:00:00" u="1"/>
        <d v="2012-11-09T00:00:00" u="1"/>
        <d v="2011-12-05T00:00:00" u="1"/>
        <d v="2013-11-09T00:00:00" u="1"/>
        <d v="2012-12-05T00:00:00" u="1"/>
        <d v="2013-12-05T00:00:00" u="1"/>
        <d v="2010-07-27T00:00:00" u="1"/>
        <d v="2012-07-27T00:00:00" u="1"/>
        <d v="2011-08-23T00:00:00" u="1"/>
        <d v="2013-07-27T00:00:00" u="1"/>
        <d v="2012-08-23T00:00:00" u="1"/>
        <d v="2011-09-19T00:00:00" u="1"/>
        <d v="2013-08-23T00:00:00" u="1"/>
        <d v="2012-09-19T00:00:00" u="1"/>
        <d v="2013-09-19T00:00:00" u="1"/>
        <d v="2012-10-15T00:00:00" u="1"/>
        <d v="2011-11-11T00:00:00" u="1"/>
        <d v="2013-10-15T00:00:00" u="1"/>
        <d v="2012-11-11T00:00:00" u="1"/>
        <d v="2011-12-07T00:00:00" u="1"/>
        <d v="2013-11-11T00:00:00" u="1"/>
        <d v="2012-12-07T00:00:00" u="1"/>
        <d v="2013-12-07T00:00:00" u="1"/>
        <d v="2011-07-29T00:00:00" u="1"/>
        <d v="2012-07-29T00:00:00" u="1"/>
        <d v="2011-08-25T00:00:00" u="1"/>
        <d v="2013-07-29T00:00:00" u="1"/>
        <d v="2012-08-25T00:00:00" u="1"/>
        <d v="2011-09-21T00:00:00" u="1"/>
        <d v="2013-08-25T00:00:00" u="1"/>
        <d v="2012-09-21T00:00:00" u="1"/>
        <d v="2011-10-17T00:00:00" u="1"/>
        <d v="2013-09-21T00:00:00" u="1"/>
        <d v="2012-10-17T00:00:00" u="1"/>
        <d v="2013-10-17T00:00:00" u="1"/>
        <d v="2012-11-13T00:00:00" u="1"/>
        <d v="2013-11-13T00:00:00" u="1"/>
        <d v="2012-12-09T00:00:00" u="1"/>
        <d v="2013-12-09T00:00:00" u="1"/>
        <d v="2012-07-31T00:00:00" u="1"/>
        <d v="2013-07-31T00:00:00" u="1"/>
        <d v="2012-08-27T00:00:00" u="1"/>
        <d v="2013-08-27T00:00:00" u="1"/>
        <d v="2012-09-23T00:00:00" u="1"/>
        <d v="2011-10-19T00:00:00" u="1"/>
        <d v="2013-09-23T00:00:00" u="1"/>
        <d v="2012-10-19T00:00:00" u="1"/>
        <d v="2011-11-15T00:00:00" u="1"/>
        <d v="2013-10-19T00:00:00" u="1"/>
        <d v="2012-11-15T00:00:00" u="1"/>
        <d v="2013-11-15T00:00:00" u="1"/>
        <d v="2012-12-11T00:00:00" u="1"/>
        <d v="2013-12-11T00:00:00" u="1"/>
        <d v="2012-08-29T00:00:00" u="1"/>
        <d v="2013-08-29T00:00:00" u="1"/>
        <d v="2012-09-25T00:00:00" u="1"/>
        <d v="2013-09-25T00:00:00" u="1"/>
        <d v="2012-10-21T00:00:00" u="1"/>
        <d v="2011-11-17T00:00:00" u="1"/>
        <d v="2013-10-21T00:00:00" u="1"/>
        <d v="2012-11-17T00:00:00" u="1"/>
        <d v="2011-12-13T00:00:00" u="1"/>
        <d v="2013-11-17T00:00:00" u="1"/>
        <d v="2012-12-13T00:00:00" u="1"/>
        <d v="2013-12-13T00:00:00" u="1"/>
        <d v="2012-08-31T00:00:00" u="1"/>
        <d v="2013-08-31T00:00:00" u="1"/>
        <d v="2012-09-27T00:00:00" u="1"/>
        <d v="2013-09-27T00:00:00" u="1"/>
        <d v="2012-10-23T00:00:00" u="1"/>
        <d v="2011-11-19T00:00:00" u="1"/>
        <d v="2013-10-23T00:00:00" u="1"/>
        <d v="2012-11-19T00:00:00" u="1"/>
        <d v="2011-12-15T00:00:00" u="1"/>
        <d v="2013-11-19T00:00:00" u="1"/>
        <d v="2012-12-15T00:00:00" u="1"/>
        <d v="2013-12-15T00:00:00" u="1"/>
      </sharedItems>
    </cacheField>
    <cacheField name="year" numFmtId="0">
      <sharedItems containsString="0" containsBlank="1" containsNumber="1" containsInteger="1" minValue="1900" maxValue="2803" count="796">
        <n v="1900"/>
        <m/>
        <n v="2266" u="1"/>
        <n v="2136" u="1"/>
        <n v="2027" u="1"/>
        <n v="2723" u="1"/>
        <n v="2593" u="1"/>
        <n v="2463" u="1"/>
        <n v="2333" u="1"/>
        <n v="2203" u="1"/>
        <n v="2073" u="1"/>
        <n v="2790" u="1"/>
        <n v="2660" u="1"/>
        <n v="2530" u="1"/>
        <n v="2400" u="1"/>
        <n v="2270" u="1"/>
        <n v="2140" u="1"/>
        <n v="2029" u="1"/>
        <n v="2727" u="1"/>
        <n v="2597" u="1"/>
        <n v="2467" u="1"/>
        <n v="2337" u="1"/>
        <n v="2207" u="1"/>
        <n v="2077" u="1"/>
        <n v="2794" u="1"/>
        <n v="2664" u="1"/>
        <n v="2534" u="1"/>
        <n v="2404" u="1"/>
        <n v="2274" u="1"/>
        <n v="2144" u="1"/>
        <n v="2031" u="1"/>
        <n v="2731" u="1"/>
        <n v="2601" u="1"/>
        <n v="2471" u="1"/>
        <n v="2341" u="1"/>
        <n v="2211" u="1"/>
        <n v="2081" u="1"/>
        <n v="2798" u="1"/>
        <n v="2668" u="1"/>
        <n v="2538" u="1"/>
        <n v="2408" u="1"/>
        <n v="2278" u="1"/>
        <n v="2148" u="1"/>
        <n v="2033" u="1"/>
        <n v="2735" u="1"/>
        <n v="2605" u="1"/>
        <n v="2475" u="1"/>
        <n v="2345" u="1"/>
        <n v="2215" u="1"/>
        <n v="2085" u="1"/>
        <n v="2802" u="1"/>
        <n v="2672" u="1"/>
        <n v="2542" u="1"/>
        <n v="2412" u="1"/>
        <n v="2282" u="1"/>
        <n v="2152" u="1"/>
        <n v="2035" u="1"/>
        <n v="2739" u="1"/>
        <n v="2609" u="1"/>
        <n v="2479" u="1"/>
        <n v="2349" u="1"/>
        <n v="2219" u="1"/>
        <n v="2089" u="1"/>
        <n v="2676" u="1"/>
        <n v="2546" u="1"/>
        <n v="2416" u="1"/>
        <n v="2286" u="1"/>
        <n v="2156" u="1"/>
        <n v="2037" u="1"/>
        <n v="2743" u="1"/>
        <n v="2613" u="1"/>
        <n v="2483" u="1"/>
        <n v="2353" u="1"/>
        <n v="2223" u="1"/>
        <n v="2093" u="1"/>
        <n v="2680" u="1"/>
        <n v="2550" u="1"/>
        <n v="2420" u="1"/>
        <n v="2290" u="1"/>
        <n v="2160" u="1"/>
        <n v="2039" u="1"/>
        <n v="2747" u="1"/>
        <n v="2617" u="1"/>
        <n v="2487" u="1"/>
        <n v="2357" u="1"/>
        <n v="2227" u="1"/>
        <n v="2097" u="1"/>
        <n v="2684" u="1"/>
        <n v="2554" u="1"/>
        <n v="2424" u="1"/>
        <n v="2294" u="1"/>
        <n v="2164" u="1"/>
        <n v="2041" u="1"/>
        <n v="2751" u="1"/>
        <n v="2621" u="1"/>
        <n v="2491" u="1"/>
        <n v="2361" u="1"/>
        <n v="2231" u="1"/>
        <n v="2101" u="1"/>
        <n v="2688" u="1"/>
        <n v="2558" u="1"/>
        <n v="2428" u="1"/>
        <n v="2298" u="1"/>
        <n v="2168" u="1"/>
        <n v="2043" u="1"/>
        <n v="2755" u="1"/>
        <n v="2625" u="1"/>
        <n v="2495" u="1"/>
        <n v="2365" u="1"/>
        <n v="2235" u="1"/>
        <n v="2105" u="1"/>
        <n v="2692" u="1"/>
        <n v="2562" u="1"/>
        <n v="2432" u="1"/>
        <n v="2302" u="1"/>
        <n v="2172" u="1"/>
        <n v="2045" u="1"/>
        <n v="2759" u="1"/>
        <n v="2629" u="1"/>
        <n v="2499" u="1"/>
        <n v="2369" u="1"/>
        <n v="2239" u="1"/>
        <n v="2109" u="1"/>
        <n v="2696" u="1"/>
        <n v="2566" u="1"/>
        <n v="2436" u="1"/>
        <n v="2306" u="1"/>
        <n v="2176" u="1"/>
        <n v="2047" u="1"/>
        <n v="2763" u="1"/>
        <n v="2633" u="1"/>
        <n v="2503" u="1"/>
        <n v="2373" u="1"/>
        <n v="2243" u="1"/>
        <n v="2113" u="1"/>
        <n v="2700" u="1"/>
        <n v="2570" u="1"/>
        <n v="2440" u="1"/>
        <n v="2310" u="1"/>
        <n v="2180" u="1"/>
        <n v="2050" u="1"/>
        <n v="2767" u="1"/>
        <n v="2637" u="1"/>
        <n v="2507" u="1"/>
        <n v="2377" u="1"/>
        <n v="2247" u="1"/>
        <n v="2117" u="1"/>
        <n v="2704" u="1"/>
        <n v="2574" u="1"/>
        <n v="2444" u="1"/>
        <n v="2314" u="1"/>
        <n v="2184" u="1"/>
        <n v="2054" u="1"/>
        <n v="2771" u="1"/>
        <n v="2641" u="1"/>
        <n v="2511" u="1"/>
        <n v="2381" u="1"/>
        <n v="2251" u="1"/>
        <n v="2121" u="1"/>
        <n v="2708" u="1"/>
        <n v="2578" u="1"/>
        <n v="2448" u="1"/>
        <n v="2318" u="1"/>
        <n v="2188" u="1"/>
        <n v="2058" u="1"/>
        <n v="2775" u="1"/>
        <n v="2645" u="1"/>
        <n v="2515" u="1"/>
        <n v="2385" u="1"/>
        <n v="2255" u="1"/>
        <n v="2125" u="1"/>
        <n v="2712" u="1"/>
        <n v="2582" u="1"/>
        <n v="2452" u="1"/>
        <n v="2322" u="1"/>
        <n v="2192" u="1"/>
        <n v="2062" u="1"/>
        <n v="2779" u="1"/>
        <n v="2649" u="1"/>
        <n v="2519" u="1"/>
        <n v="2389" u="1"/>
        <n v="2259" u="1"/>
        <n v="2129" u="1"/>
        <n v="2716" u="1"/>
        <n v="2586" u="1"/>
        <n v="2456" u="1"/>
        <n v="2326" u="1"/>
        <n v="2196" u="1"/>
        <n v="2066" u="1"/>
        <n v="2783" u="1"/>
        <n v="2653" u="1"/>
        <n v="2523" u="1"/>
        <n v="2393" u="1"/>
        <n v="2263" u="1"/>
        <n v="2133" u="1"/>
        <n v="2720" u="1"/>
        <n v="2590" u="1"/>
        <n v="2460" u="1"/>
        <n v="2330" u="1"/>
        <n v="2200" u="1"/>
        <n v="2070" u="1"/>
        <n v="2787" u="1"/>
        <n v="2657" u="1"/>
        <n v="2527" u="1"/>
        <n v="2397" u="1"/>
        <n v="2267" u="1"/>
        <n v="2137" u="1"/>
        <n v="2724" u="1"/>
        <n v="2594" u="1"/>
        <n v="2464" u="1"/>
        <n v="2334" u="1"/>
        <n v="2204" u="1"/>
        <n v="2074" u="1"/>
        <n v="2791" u="1"/>
        <n v="2661" u="1"/>
        <n v="2531" u="1"/>
        <n v="2401" u="1"/>
        <n v="2271" u="1"/>
        <n v="2141" u="1"/>
        <n v="2728" u="1"/>
        <n v="2598" u="1"/>
        <n v="2468" u="1"/>
        <n v="2338" u="1"/>
        <n v="2208" u="1"/>
        <n v="2078" u="1"/>
        <n v="2795" u="1"/>
        <n v="2665" u="1"/>
        <n v="2535" u="1"/>
        <n v="2405" u="1"/>
        <n v="2275" u="1"/>
        <n v="2145" u="1"/>
        <n v="2732" u="1"/>
        <n v="2602" u="1"/>
        <n v="2472" u="1"/>
        <n v="2342" u="1"/>
        <n v="2212" u="1"/>
        <n v="2082" u="1"/>
        <n v="2799" u="1"/>
        <n v="2669" u="1"/>
        <n v="2539" u="1"/>
        <n v="2409" u="1"/>
        <n v="2279" u="1"/>
        <n v="2149" u="1"/>
        <n v="2736" u="1"/>
        <n v="2606" u="1"/>
        <n v="2476" u="1"/>
        <n v="2346" u="1"/>
        <n v="2216" u="1"/>
        <n v="2086" u="1"/>
        <n v="2803" u="1"/>
        <n v="2673" u="1"/>
        <n v="2543" u="1"/>
        <n v="2413" u="1"/>
        <n v="2283" u="1"/>
        <n v="2153" u="1"/>
        <n v="2740" u="1"/>
        <n v="2610" u="1"/>
        <n v="2480" u="1"/>
        <n v="2350" u="1"/>
        <n v="2220" u="1"/>
        <n v="2090" u="1"/>
        <n v="2677" u="1"/>
        <n v="2547" u="1"/>
        <n v="2417" u="1"/>
        <n v="2287" u="1"/>
        <n v="2157" u="1"/>
        <n v="2744" u="1"/>
        <n v="2614" u="1"/>
        <n v="2484" u="1"/>
        <n v="2354" u="1"/>
        <n v="2224" u="1"/>
        <n v="2094" u="1"/>
        <n v="2681" u="1"/>
        <n v="2551" u="1"/>
        <n v="2421" u="1"/>
        <n v="2291" u="1"/>
        <n v="2161" u="1"/>
        <n v="2748" u="1"/>
        <n v="2618" u="1"/>
        <n v="2488" u="1"/>
        <n v="2358" u="1"/>
        <n v="2228" u="1"/>
        <n v="2098" u="1"/>
        <n v="2685" u="1"/>
        <n v="2555" u="1"/>
        <n v="2425" u="1"/>
        <n v="2295" u="1"/>
        <n v="2165" u="1"/>
        <n v="2752" u="1"/>
        <n v="2622" u="1"/>
        <n v="2492" u="1"/>
        <n v="2362" u="1"/>
        <n v="2232" u="1"/>
        <n v="2102" u="1"/>
        <n v="2010" u="1"/>
        <n v="2689" u="1"/>
        <n v="2559" u="1"/>
        <n v="2429" u="1"/>
        <n v="2299" u="1"/>
        <n v="2169" u="1"/>
        <n v="2756" u="1"/>
        <n v="2626" u="1"/>
        <n v="2496" u="1"/>
        <n v="2366" u="1"/>
        <n v="2236" u="1"/>
        <n v="2106" u="1"/>
        <n v="2012" u="1"/>
        <n v="2693" u="1"/>
        <n v="2563" u="1"/>
        <n v="2433" u="1"/>
        <n v="2303" u="1"/>
        <n v="2173" u="1"/>
        <n v="2760" u="1"/>
        <n v="2630" u="1"/>
        <n v="2500" u="1"/>
        <n v="2370" u="1"/>
        <n v="2240" u="1"/>
        <n v="2110" u="1"/>
        <n v="2014" u="1"/>
        <n v="2697" u="1"/>
        <n v="2567" u="1"/>
        <n v="2437" u="1"/>
        <n v="2307" u="1"/>
        <n v="2177" u="1"/>
        <n v="2764" u="1"/>
        <n v="2634" u="1"/>
        <n v="2504" u="1"/>
        <n v="2374" u="1"/>
        <n v="2244" u="1"/>
        <n v="2114" u="1"/>
        <n v="2016" u="1"/>
        <n v="2701" u="1"/>
        <n v="2571" u="1"/>
        <n v="2441" u="1"/>
        <n v="2311" u="1"/>
        <n v="2181" u="1"/>
        <n v="2051" u="1"/>
        <n v="2768" u="1"/>
        <n v="2638" u="1"/>
        <n v="2508" u="1"/>
        <n v="2378" u="1"/>
        <n v="2248" u="1"/>
        <n v="2118" u="1"/>
        <n v="2018" u="1"/>
        <n v="2705" u="1"/>
        <n v="2575" u="1"/>
        <n v="2445" u="1"/>
        <n v="2315" u="1"/>
        <n v="2185" u="1"/>
        <n v="2055" u="1"/>
        <n v="2772" u="1"/>
        <n v="2642" u="1"/>
        <n v="2512" u="1"/>
        <n v="2382" u="1"/>
        <n v="2252" u="1"/>
        <n v="2122" u="1"/>
        <n v="2020" u="1"/>
        <n v="2709" u="1"/>
        <n v="2579" u="1"/>
        <n v="2449" u="1"/>
        <n v="2319" u="1"/>
        <n v="2189" u="1"/>
        <n v="2059" u="1"/>
        <n v="2776" u="1"/>
        <n v="2646" u="1"/>
        <n v="2516" u="1"/>
        <n v="2386" u="1"/>
        <n v="2256" u="1"/>
        <n v="2126" u="1"/>
        <n v="2022" u="1"/>
        <n v="2713" u="1"/>
        <n v="2583" u="1"/>
        <n v="2453" u="1"/>
        <n v="2323" u="1"/>
        <n v="2193" u="1"/>
        <n v="2063" u="1"/>
        <n v="2780" u="1"/>
        <n v="2650" u="1"/>
        <n v="2520" u="1"/>
        <n v="2390" u="1"/>
        <n v="2260" u="1"/>
        <n v="2130" u="1"/>
        <n v="2024" u="1"/>
        <n v="2717" u="1"/>
        <n v="2587" u="1"/>
        <n v="2457" u="1"/>
        <n v="2327" u="1"/>
        <n v="2197" u="1"/>
        <n v="2067" u="1"/>
        <n v="2784" u="1"/>
        <n v="2654" u="1"/>
        <n v="2524" u="1"/>
        <n v="2394" u="1"/>
        <n v="2264" u="1"/>
        <n v="2134" u="1"/>
        <n v="2026" u="1"/>
        <n v="2721" u="1"/>
        <n v="2591" u="1"/>
        <n v="2461" u="1"/>
        <n v="2331" u="1"/>
        <n v="2201" u="1"/>
        <n v="2071" u="1"/>
        <n v="2788" u="1"/>
        <n v="2658" u="1"/>
        <n v="2528" u="1"/>
        <n v="2398" u="1"/>
        <n v="2268" u="1"/>
        <n v="2138" u="1"/>
        <n v="2028" u="1"/>
        <n v="2725" u="1"/>
        <n v="2595" u="1"/>
        <n v="2465" u="1"/>
        <n v="2335" u="1"/>
        <n v="2205" u="1"/>
        <n v="2075" u="1"/>
        <n v="2792" u="1"/>
        <n v="2662" u="1"/>
        <n v="2532" u="1"/>
        <n v="2402" u="1"/>
        <n v="2272" u="1"/>
        <n v="2142" u="1"/>
        <n v="2030" u="1"/>
        <n v="2729" u="1"/>
        <n v="2599" u="1"/>
        <n v="2469" u="1"/>
        <n v="2339" u="1"/>
        <n v="2209" u="1"/>
        <n v="2079" u="1"/>
        <n v="2796" u="1"/>
        <n v="2666" u="1"/>
        <n v="2536" u="1"/>
        <n v="2406" u="1"/>
        <n v="2276" u="1"/>
        <n v="2146" u="1"/>
        <n v="2032" u="1"/>
        <n v="2733" u="1"/>
        <n v="2603" u="1"/>
        <n v="2473" u="1"/>
        <n v="2343" u="1"/>
        <n v="2213" u="1"/>
        <n v="2083" u="1"/>
        <n v="2800" u="1"/>
        <n v="2670" u="1"/>
        <n v="2540" u="1"/>
        <n v="2410" u="1"/>
        <n v="2280" u="1"/>
        <n v="2150" u="1"/>
        <n v="2034" u="1"/>
        <n v="2737" u="1"/>
        <n v="2607" u="1"/>
        <n v="2477" u="1"/>
        <n v="2347" u="1"/>
        <n v="2217" u="1"/>
        <n v="2087" u="1"/>
        <n v="2674" u="1"/>
        <n v="2544" u="1"/>
        <n v="2414" u="1"/>
        <n v="2284" u="1"/>
        <n v="2154" u="1"/>
        <n v="2036" u="1"/>
        <n v="2741" u="1"/>
        <n v="2611" u="1"/>
        <n v="2481" u="1"/>
        <n v="2351" u="1"/>
        <n v="2221" u="1"/>
        <n v="2091" u="1"/>
        <n v="2678" u="1"/>
        <n v="2548" u="1"/>
        <n v="2418" u="1"/>
        <n v="2288" u="1"/>
        <n v="2158" u="1"/>
        <n v="2038" u="1"/>
        <n v="2745" u="1"/>
        <n v="2615" u="1"/>
        <n v="2485" u="1"/>
        <n v="2355" u="1"/>
        <n v="2225" u="1"/>
        <n v="2095" u="1"/>
        <n v="2682" u="1"/>
        <n v="2552" u="1"/>
        <n v="2422" u="1"/>
        <n v="2292" u="1"/>
        <n v="2162" u="1"/>
        <n v="2040" u="1"/>
        <n v="2749" u="1"/>
        <n v="2619" u="1"/>
        <n v="2489" u="1"/>
        <n v="2359" u="1"/>
        <n v="2229" u="1"/>
        <n v="2099" u="1"/>
        <n v="2686" u="1"/>
        <n v="2556" u="1"/>
        <n v="2426" u="1"/>
        <n v="2296" u="1"/>
        <n v="2166" u="1"/>
        <n v="2042" u="1"/>
        <n v="2753" u="1"/>
        <n v="2623" u="1"/>
        <n v="2493" u="1"/>
        <n v="2363" u="1"/>
        <n v="2233" u="1"/>
        <n v="2103" u="1"/>
        <n v="2690" u="1"/>
        <n v="2560" u="1"/>
        <n v="2430" u="1"/>
        <n v="2300" u="1"/>
        <n v="2170" u="1"/>
        <n v="2044" u="1"/>
        <n v="2757" u="1"/>
        <n v="2627" u="1"/>
        <n v="2497" u="1"/>
        <n v="2367" u="1"/>
        <n v="2237" u="1"/>
        <n v="2107" u="1"/>
        <n v="2694" u="1"/>
        <n v="2564" u="1"/>
        <n v="2434" u="1"/>
        <n v="2304" u="1"/>
        <n v="2174" u="1"/>
        <n v="2046" u="1"/>
        <n v="2761" u="1"/>
        <n v="2631" u="1"/>
        <n v="2501" u="1"/>
        <n v="2371" u="1"/>
        <n v="2241" u="1"/>
        <n v="2111" u="1"/>
        <n v="2698" u="1"/>
        <n v="2568" u="1"/>
        <n v="2438" u="1"/>
        <n v="2308" u="1"/>
        <n v="2178" u="1"/>
        <n v="2048" u="1"/>
        <n v="2765" u="1"/>
        <n v="2635" u="1"/>
        <n v="2505" u="1"/>
        <n v="2375" u="1"/>
        <n v="2245" u="1"/>
        <n v="2115" u="1"/>
        <n v="2702" u="1"/>
        <n v="2572" u="1"/>
        <n v="2442" u="1"/>
        <n v="2312" u="1"/>
        <n v="2182" u="1"/>
        <n v="2052" u="1"/>
        <n v="2769" u="1"/>
        <n v="2639" u="1"/>
        <n v="2509" u="1"/>
        <n v="2379" u="1"/>
        <n v="2249" u="1"/>
        <n v="2119" u="1"/>
        <n v="2706" u="1"/>
        <n v="2576" u="1"/>
        <n v="2446" u="1"/>
        <n v="2316" u="1"/>
        <n v="2186" u="1"/>
        <n v="2056" u="1"/>
        <n v="2773" u="1"/>
        <n v="2643" u="1"/>
        <n v="2513" u="1"/>
        <n v="2383" u="1"/>
        <n v="2253" u="1"/>
        <n v="2123" u="1"/>
        <n v="2710" u="1"/>
        <n v="2580" u="1"/>
        <n v="2450" u="1"/>
        <n v="2320" u="1"/>
        <n v="2190" u="1"/>
        <n v="2060" u="1"/>
        <n v="2777" u="1"/>
        <n v="2647" u="1"/>
        <n v="2517" u="1"/>
        <n v="2387" u="1"/>
        <n v="2257" u="1"/>
        <n v="2127" u="1"/>
        <n v="2714" u="1"/>
        <n v="2584" u="1"/>
        <n v="2454" u="1"/>
        <n v="2324" u="1"/>
        <n v="2194" u="1"/>
        <n v="2064" u="1"/>
        <n v="2781" u="1"/>
        <n v="2651" u="1"/>
        <n v="2521" u="1"/>
        <n v="2391" u="1"/>
        <n v="2261" u="1"/>
        <n v="2131" u="1"/>
        <n v="2718" u="1"/>
        <n v="2588" u="1"/>
        <n v="2458" u="1"/>
        <n v="2328" u="1"/>
        <n v="2198" u="1"/>
        <n v="2068" u="1"/>
        <n v="2785" u="1"/>
        <n v="2655" u="1"/>
        <n v="2525" u="1"/>
        <n v="2395" u="1"/>
        <n v="2265" u="1"/>
        <n v="2135" u="1"/>
        <n v="2722" u="1"/>
        <n v="2592" u="1"/>
        <n v="2462" u="1"/>
        <n v="2332" u="1"/>
        <n v="2202" u="1"/>
        <n v="2072" u="1"/>
        <n v="2789" u="1"/>
        <n v="2659" u="1"/>
        <n v="2529" u="1"/>
        <n v="2399" u="1"/>
        <n v="2269" u="1"/>
        <n v="2139" u="1"/>
        <n v="2726" u="1"/>
        <n v="2596" u="1"/>
        <n v="2466" u="1"/>
        <n v="2336" u="1"/>
        <n v="2206" u="1"/>
        <n v="2076" u="1"/>
        <n v="2793" u="1"/>
        <n v="2663" u="1"/>
        <n v="2533" u="1"/>
        <n v="2403" u="1"/>
        <n v="2273" u="1"/>
        <n v="2143" u="1"/>
        <n v="2730" u="1"/>
        <n v="2600" u="1"/>
        <n v="2470" u="1"/>
        <n v="2340" u="1"/>
        <n v="2210" u="1"/>
        <n v="2080" u="1"/>
        <n v="2797" u="1"/>
        <n v="2667" u="1"/>
        <n v="2537" u="1"/>
        <n v="2407" u="1"/>
        <n v="2277" u="1"/>
        <n v="2147" u="1"/>
        <n v="2734" u="1"/>
        <n v="2604" u="1"/>
        <n v="2474" u="1"/>
        <n v="2344" u="1"/>
        <n v="2214" u="1"/>
        <n v="2084" u="1"/>
        <n v="2801" u="1"/>
        <n v="2671" u="1"/>
        <n v="2541" u="1"/>
        <n v="2411" u="1"/>
        <n v="2281" u="1"/>
        <n v="2151" u="1"/>
        <n v="2738" u="1"/>
        <n v="2608" u="1"/>
        <n v="2478" u="1"/>
        <n v="2348" u="1"/>
        <n v="2218" u="1"/>
        <n v="2088" u="1"/>
        <n v="2675" u="1"/>
        <n v="2545" u="1"/>
        <n v="2415" u="1"/>
        <n v="2285" u="1"/>
        <n v="2155" u="1"/>
        <n v="2742" u="1"/>
        <n v="2612" u="1"/>
        <n v="2482" u="1"/>
        <n v="2352" u="1"/>
        <n v="2222" u="1"/>
        <n v="2092" u="1"/>
        <n v="2679" u="1"/>
        <n v="2549" u="1"/>
        <n v="2419" u="1"/>
        <n v="2289" u="1"/>
        <n v="2159" u="1"/>
        <n v="2746" u="1"/>
        <n v="2616" u="1"/>
        <n v="2486" u="1"/>
        <n v="2356" u="1"/>
        <n v="2226" u="1"/>
        <n v="2096" u="1"/>
        <n v="2683" u="1"/>
        <n v="2553" u="1"/>
        <n v="2423" u="1"/>
        <n v="2293" u="1"/>
        <n v="2163" u="1"/>
        <n v="2750" u="1"/>
        <n v="2620" u="1"/>
        <n v="2490" u="1"/>
        <n v="2360" u="1"/>
        <n v="2230" u="1"/>
        <n v="2100" u="1"/>
        <n v="2687" u="1"/>
        <n v="2557" u="1"/>
        <n v="2427" u="1"/>
        <n v="2297" u="1"/>
        <n v="2167" u="1"/>
        <n v="2754" u="1"/>
        <n v="2624" u="1"/>
        <n v="2494" u="1"/>
        <n v="2364" u="1"/>
        <n v="2234" u="1"/>
        <n v="2104" u="1"/>
        <n v="2011" u="1"/>
        <n v="2691" u="1"/>
        <n v="2561" u="1"/>
        <n v="2431" u="1"/>
        <n v="2301" u="1"/>
        <n v="2171" u="1"/>
        <n v="2758" u="1"/>
        <n v="2628" u="1"/>
        <n v="2498" u="1"/>
        <n v="2368" u="1"/>
        <n v="2238" u="1"/>
        <n v="2108" u="1"/>
        <n v="2013" u="1"/>
        <n v="2695" u="1"/>
        <n v="2565" u="1"/>
        <n v="2435" u="1"/>
        <n v="2305" u="1"/>
        <n v="2175" u="1"/>
        <n v="2762" u="1"/>
        <n v="2632" u="1"/>
        <n v="2502" u="1"/>
        <n v="2372" u="1"/>
        <n v="2242" u="1"/>
        <n v="2112" u="1"/>
        <n v="2015" u="1"/>
        <n v="2699" u="1"/>
        <n v="2569" u="1"/>
        <n v="2439" u="1"/>
        <n v="2309" u="1"/>
        <n v="2179" u="1"/>
        <n v="2049" u="1"/>
        <n v="2766" u="1"/>
        <n v="2636" u="1"/>
        <n v="2506" u="1"/>
        <n v="2376" u="1"/>
        <n v="2246" u="1"/>
        <n v="2116" u="1"/>
        <n v="2017" u="1"/>
        <n v="2703" u="1"/>
        <n v="2573" u="1"/>
        <n v="2443" u="1"/>
        <n v="2313" u="1"/>
        <n v="2183" u="1"/>
        <n v="2053" u="1"/>
        <n v="2770" u="1"/>
        <n v="2640" u="1"/>
        <n v="2510" u="1"/>
        <n v="2380" u="1"/>
        <n v="2250" u="1"/>
        <n v="2120" u="1"/>
        <n v="2019" u="1"/>
        <n v="2707" u="1"/>
        <n v="2577" u="1"/>
        <n v="2447" u="1"/>
        <n v="2317" u="1"/>
        <n v="2187" u="1"/>
        <n v="2057" u="1"/>
        <n v="2774" u="1"/>
        <n v="2644" u="1"/>
        <n v="2514" u="1"/>
        <n v="2384" u="1"/>
        <n v="2254" u="1"/>
        <n v="2124" u="1"/>
        <n v="2021" u="1"/>
        <n v="2711" u="1"/>
        <n v="2581" u="1"/>
        <n v="2451" u="1"/>
        <n v="2321" u="1"/>
        <n v="2191" u="1"/>
        <n v="2061" u="1"/>
        <n v="2778" u="1"/>
        <n v="2648" u="1"/>
        <n v="2518" u="1"/>
        <n v="2388" u="1"/>
        <n v="2258" u="1"/>
        <n v="2128" u="1"/>
        <n v="2023" u="1"/>
        <n v="2715" u="1"/>
        <n v="2585" u="1"/>
        <n v="2455" u="1"/>
        <n v="2325" u="1"/>
        <n v="2195" u="1"/>
        <n v="2065" u="1"/>
        <n v="2782" u="1"/>
        <n v="2652" u="1"/>
        <n v="2522" u="1"/>
        <n v="2392" u="1"/>
        <n v="2262" u="1"/>
        <n v="2132" u="1"/>
        <n v="2025" u="1"/>
        <n v="2719" u="1"/>
        <n v="2589" u="1"/>
        <n v="2459" u="1"/>
        <n v="2329" u="1"/>
        <n v="2199" u="1"/>
        <n v="2069" u="1"/>
        <n v="2786" u="1"/>
        <n v="2656" u="1"/>
        <n v="2526" u="1"/>
        <n v="2396" u="1"/>
      </sharedItems>
    </cacheField>
    <cacheField name="month" numFmtId="0">
      <sharedItems containsString="0" containsBlank="1" containsNumber="1" containsInteger="1" minValue="1" maxValue="12" count="13">
        <n v="1"/>
        <m/>
        <n v="5" u="1"/>
        <n v="2" u="1"/>
        <n v="6" u="1"/>
        <n v="7" u="1"/>
        <n v="3" u="1"/>
        <n v="8" u="1"/>
        <n v="9" u="1"/>
        <n v="10" u="1"/>
        <n v="11" u="1"/>
        <n v="4" u="1"/>
        <n v="12" u="1"/>
      </sharedItems>
    </cacheField>
    <cacheField name="weekday" numFmtId="0">
      <sharedItems containsString="0" containsBlank="1" containsNumber="1" containsInteger="1" minValue="2" maxValue="7" count="7">
        <n v="7"/>
        <m/>
        <n v="5" u="1"/>
        <n v="2" u="1"/>
        <n v="6" u="1"/>
        <n v="3" u="1"/>
        <n v="4" u="1"/>
      </sharedItems>
    </cacheField>
    <cacheField name="dateRounded" numFmtId="0" formula=" ROUND(dateTime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4">
  <r>
    <m/>
    <x v="0"/>
    <m/>
    <x v="0"/>
    <x v="0"/>
    <x v="0"/>
    <m/>
    <m/>
    <m/>
    <x v="0"/>
    <x v="0"/>
    <x v="0"/>
    <x v="0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  <r>
    <m/>
    <x v="0"/>
    <m/>
    <x v="0"/>
    <x v="0"/>
    <x v="0"/>
    <m/>
    <m/>
    <m/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3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4" indent="0" outline="1" outlineData="1" multipleFieldFilters="0" chartFormat="1">
  <location ref="A9:C12" firstHeaderRow="0" firstDataRow="1" firstDataCol="1" rowPageCount="7" colPageCount="1"/>
  <pivotFields count="14"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axis="axisPage" showAll="0">
      <items count="4">
        <item m="1" x="1"/>
        <item x="0"/>
        <item m="1" x="2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4">
        <item m="1" x="1"/>
        <item x="0"/>
        <item m="1" x="2"/>
        <item t="default"/>
      </items>
    </pivotField>
    <pivotField dataField="1" showAll="0"/>
    <pivotField showAll="0"/>
    <pivotField showAll="0"/>
    <pivotField axis="axisRow" showAll="0">
      <items count="946">
        <item m="1" x="161"/>
        <item m="1" x="645"/>
        <item m="1" x="663"/>
        <item m="1" x="197"/>
        <item m="1" x="75"/>
        <item m="1" x="551"/>
        <item m="1" x="597"/>
        <item m="1" x="162"/>
        <item m="1" x="265"/>
        <item m="1" x="754"/>
        <item m="1" x="266"/>
        <item m="1" x="755"/>
        <item m="1" x="306"/>
        <item m="1" x="139"/>
        <item m="1" x="622"/>
        <item m="1" x="154"/>
        <item m="1" x="653"/>
        <item m="1" x="671"/>
        <item m="1" x="206"/>
        <item m="1" x="236"/>
        <item m="1" x="721"/>
        <item m="1" x="736"/>
        <item m="1" x="269"/>
        <item m="1" x="286"/>
        <item m="1" x="776"/>
        <item m="1" x="307"/>
        <item m="1" x="797"/>
        <item m="1" x="609"/>
        <item m="1" x="656"/>
        <item m="1" x="189"/>
        <item m="1" x="310"/>
        <item m="1" x="856"/>
        <item m="1" x="763"/>
        <item m="1" x="292"/>
        <item m="1" x="874"/>
        <item m="1" x="401"/>
        <item m="1" x="295"/>
        <item m="1" x="714"/>
        <item m="1" x="472"/>
        <item m="1" x="749"/>
        <item m="1" x="411"/>
        <item m="1" x="360"/>
        <item m="1" x="850"/>
        <item m="1" x="180"/>
        <item m="1" x="576"/>
        <item m="1" x="108"/>
        <item m="1" x="134"/>
        <item m="1" x="618"/>
        <item m="1" x="150"/>
        <item m="1" x="633"/>
        <item m="1" x="167"/>
        <item m="1" x="202"/>
        <item m="1" x="687"/>
        <item m="1" x="219"/>
        <item m="1" x="126"/>
        <item m="1" x="607"/>
        <item m="1" x="759"/>
        <item m="1" x="288"/>
        <item m="1" x="191"/>
        <item m="1" x="780"/>
        <item m="1" x="312"/>
        <item m="1" x="366"/>
        <item m="1" x="857"/>
        <item m="1" x="742"/>
        <item m="1" x="315"/>
        <item m="1" x="801"/>
        <item m="1" x="402"/>
        <item m="1" x="891"/>
        <item m="1" x="418"/>
        <item m="1" x="679"/>
        <item m="1" x="214"/>
        <item m="1" x="698"/>
        <item m="1" x="230"/>
        <item m="1" x="712"/>
        <item m="1" x="244"/>
        <item m="1" x="259"/>
        <item m="1" x="745"/>
        <item m="1" x="277"/>
        <item m="1" x="767"/>
        <item m="1" x="297"/>
        <item m="1" x="804"/>
        <item m="1" x="335"/>
        <item m="1" x="821"/>
        <item m="1" x="839"/>
        <item m="1" x="370"/>
        <item m="1" x="388"/>
        <item m="1" x="876"/>
        <item m="1" x="404"/>
        <item m="1" x="893"/>
        <item m="1" x="420"/>
        <item m="1" x="280"/>
        <item m="1" x="770"/>
        <item m="1" x="787"/>
        <item m="1" x="320"/>
        <item m="1" x="338"/>
        <item m="1" x="824"/>
        <item m="1" x="353"/>
        <item m="1" x="842"/>
        <item m="1" x="373"/>
        <item m="1" x="879"/>
        <item m="1" x="407"/>
        <item m="1" x="896"/>
        <item m="1" x="423"/>
        <item m="1" x="436"/>
        <item m="1" x="450"/>
        <item m="1" x="462"/>
        <item m="1" x="2"/>
        <item m="1" x="473"/>
        <item m="1" x="302"/>
        <item m="1" x="790"/>
        <item m="1" x="323"/>
        <item m="1" x="809"/>
        <item m="1" x="356"/>
        <item m="1" x="845"/>
        <item m="1" x="376"/>
        <item m="1" x="899"/>
        <item m="1" x="426"/>
        <item m="1" x="912"/>
        <item m="1" x="439"/>
        <item m="1" x="482"/>
        <item m="1" x="29"/>
        <item m="1" x="793"/>
        <item m="1" x="326"/>
        <item m="1" x="812"/>
        <item m="1" x="848"/>
        <item m="1" x="379"/>
        <item m="1" x="867"/>
        <item m="1" x="884"/>
        <item m="1" x="429"/>
        <item m="1" x="915"/>
        <item m="1" x="442"/>
        <item m="1" x="926"/>
        <item m="1" x="455"/>
        <item m="1" x="938"/>
        <item m="1" x="484"/>
        <item m="1" x="19"/>
        <item m="1" x="495"/>
        <item m="1" x="505"/>
        <item m="1" x="40"/>
        <item m="1" x="517"/>
        <item m="1" x="362"/>
        <item m="1" x="852"/>
        <item m="1" x="870"/>
        <item m="1" x="397"/>
        <item m="1" x="887"/>
        <item m="1" x="445"/>
        <item m="1" x="929"/>
        <item m="1" x="458"/>
        <item m="1" x="941"/>
        <item m="1" x="468"/>
        <item m="1" x="14"/>
        <item m="1" x="487"/>
        <item m="1" x="22"/>
        <item m="1" x="498"/>
        <item m="1" x="33"/>
        <item m="1" x="507"/>
        <item m="1" x="42"/>
        <item m="1" x="519"/>
        <item m="1" x="52"/>
        <item m="1" x="529"/>
        <item m="1" x="61"/>
        <item m="1" x="540"/>
        <item m="1" x="72"/>
        <item m="1" x="491"/>
        <item m="1" x="26"/>
        <item m="1" x="502"/>
        <item m="1" x="37"/>
        <item m="1" x="511"/>
        <item m="1" x="46"/>
        <item m="1" x="523"/>
        <item m="1" x="55"/>
        <item m="1" x="532"/>
        <item m="1" x="64"/>
        <item m="1" x="543"/>
        <item m="1" x="76"/>
        <item m="1" x="552"/>
        <item m="1" x="84"/>
        <item m="1" x="562"/>
        <item m="1" x="94"/>
        <item m="1" x="572"/>
        <item m="1" x="104"/>
        <item m="1" x="585"/>
        <item m="1" x="117"/>
        <item m="1" x="598"/>
        <item m="1" x="130"/>
        <item m="1" x="614"/>
        <item m="1" x="146"/>
        <item m="1" x="629"/>
        <item m="1" x="163"/>
        <item m="1" x="646"/>
        <item m="1" x="179"/>
        <item m="1" x="664"/>
        <item m="1" x="198"/>
        <item m="1" x="683"/>
        <item m="1" x="513"/>
        <item m="1" x="48"/>
        <item m="1" x="525"/>
        <item m="1" x="57"/>
        <item m="1" x="534"/>
        <item m="1" x="66"/>
        <item m="1" x="545"/>
        <item m="1" x="78"/>
        <item m="1" x="554"/>
        <item m="1" x="86"/>
        <item m="1" x="564"/>
        <item m="1" x="96"/>
        <item m="1" x="574"/>
        <item m="1" x="106"/>
        <item m="1" x="587"/>
        <item m="1" x="119"/>
        <item m="1" x="600"/>
        <item m="1" x="132"/>
        <item m="1" x="616"/>
        <item m="1" x="148"/>
        <item m="1" x="631"/>
        <item m="1" x="165"/>
        <item m="1" x="648"/>
        <item m="1" x="182"/>
        <item m="1" x="666"/>
        <item m="1" x="200"/>
        <item m="1" x="685"/>
        <item m="1" x="218"/>
        <item m="1" x="702"/>
        <item m="1" x="537"/>
        <item m="1" x="69"/>
        <item m="1" x="548"/>
        <item m="1" x="81"/>
        <item m="1" x="557"/>
        <item m="1" x="89"/>
        <item m="1" x="567"/>
        <item m="1" x="99"/>
        <item m="1" x="578"/>
        <item m="1" x="110"/>
        <item m="1" x="590"/>
        <item m="1" x="122"/>
        <item m="1" x="603"/>
        <item m="1" x="136"/>
        <item m="1" x="620"/>
        <item m="1" x="152"/>
        <item m="1" x="635"/>
        <item m="1" x="169"/>
        <item m="1" x="651"/>
        <item m="1" x="185"/>
        <item m="1" x="669"/>
        <item m="1" x="204"/>
        <item m="1" x="689"/>
        <item m="1" x="221"/>
        <item m="1" x="703"/>
        <item m="1" x="234"/>
        <item m="1" x="719"/>
        <item m="1" x="250"/>
        <item m="1" x="734"/>
        <item m="1" x="267"/>
        <item m="1" x="756"/>
        <item m="1" x="560"/>
        <item m="1" x="92"/>
        <item m="1" x="570"/>
        <item m="1" x="102"/>
        <item m="1" x="581"/>
        <item m="1" x="113"/>
        <item m="1" x="593"/>
        <item m="1" x="125"/>
        <item m="1" x="606"/>
        <item m="1" x="140"/>
        <item m="1" x="623"/>
        <item m="1" x="155"/>
        <item m="1" x="637"/>
        <item m="1" x="171"/>
        <item m="1" x="654"/>
        <item m="1" x="187"/>
        <item m="1" x="672"/>
        <item m="1" x="207"/>
        <item m="1" x="691"/>
        <item m="1" x="223"/>
        <item m="1" x="705"/>
        <item m="1" x="237"/>
        <item m="1" x="722"/>
        <item m="1" x="252"/>
        <item m="1" x="737"/>
        <item m="1" x="270"/>
        <item m="1" x="758"/>
        <item m="1" x="287"/>
        <item m="1" x="777"/>
        <item m="1" x="308"/>
        <item m="1" x="583"/>
        <item m="1" x="115"/>
        <item m="1" x="595"/>
        <item m="1" x="128"/>
        <item m="1" x="610"/>
        <item m="1" x="142"/>
        <item m="1" x="625"/>
        <item m="1" x="157"/>
        <item m="1" x="639"/>
        <item m="1" x="173"/>
        <item m="1" x="657"/>
        <item m="1" x="190"/>
        <item m="1" x="674"/>
        <item m="1" x="209"/>
        <item m="1" x="693"/>
        <item m="1" x="225"/>
        <item m="1" x="707"/>
        <item m="1" x="239"/>
        <item m="1" x="724"/>
        <item m="1" x="254"/>
        <item m="1" x="739"/>
        <item m="1" x="272"/>
        <item m="1" x="761"/>
        <item m="1" x="290"/>
        <item m="1" x="779"/>
        <item m="1" x="311"/>
        <item m="1" x="798"/>
        <item m="1" x="330"/>
        <item m="1" x="816"/>
        <item m="1" x="346"/>
        <item m="1" x="834"/>
        <item m="1" x="612"/>
        <item m="1" x="144"/>
        <item m="1" x="627"/>
        <item m="1" x="159"/>
        <item m="1" x="641"/>
        <item m="1" x="175"/>
        <item m="1" x="659"/>
        <item m="1" x="193"/>
        <item m="1" x="676"/>
        <item m="1" x="211"/>
        <item m="1" x="695"/>
        <item m="1" x="227"/>
        <item m="1" x="709"/>
        <item m="1" x="241"/>
        <item m="1" x="726"/>
        <item m="1" x="256"/>
        <item m="1" x="741"/>
        <item m="1" x="274"/>
        <item m="1" x="764"/>
        <item m="1" x="293"/>
        <item m="1" x="782"/>
        <item m="1" x="314"/>
        <item m="1" x="800"/>
        <item m="1" x="332"/>
        <item m="1" x="818"/>
        <item m="1" x="348"/>
        <item m="1" x="836"/>
        <item m="1" x="367"/>
        <item m="1" x="858"/>
        <item m="1" x="385"/>
        <item m="1" x="643"/>
        <item m="1" x="177"/>
        <item m="1" x="661"/>
        <item m="1" x="195"/>
        <item m="1" x="678"/>
        <item m="1" x="213"/>
        <item m="1" x="697"/>
        <item m="1" x="229"/>
        <item m="1" x="711"/>
        <item m="1" x="243"/>
        <item m="1" x="728"/>
        <item m="1" x="258"/>
        <item m="1" x="744"/>
        <item m="1" x="276"/>
        <item m="1" x="766"/>
        <item m="1" x="296"/>
        <item m="1" x="784"/>
        <item m="1" x="317"/>
        <item m="1" x="803"/>
        <item m="1" x="334"/>
        <item m="1" x="820"/>
        <item m="1" x="350"/>
        <item m="1" x="838"/>
        <item m="1" x="369"/>
        <item m="1" x="860"/>
        <item m="1" x="387"/>
        <item m="1" x="875"/>
        <item m="1" x="403"/>
        <item m="1" x="892"/>
        <item m="1" x="419"/>
        <item m="1" x="907"/>
        <item m="1" x="681"/>
        <item m="1" x="216"/>
        <item m="1" x="700"/>
        <item m="1" x="232"/>
        <item m="1" x="715"/>
        <item m="1" x="246"/>
        <item m="1" x="730"/>
        <item m="1" x="261"/>
        <item m="1" x="747"/>
        <item m="1" x="279"/>
        <item m="1" x="769"/>
        <item m="1" x="299"/>
        <item m="1" x="786"/>
        <item m="1" x="319"/>
        <item m="1" x="806"/>
        <item m="1" x="337"/>
        <item m="1" x="823"/>
        <item m="1" x="352"/>
        <item m="1" x="841"/>
        <item m="1" x="372"/>
        <item m="1" x="862"/>
        <item m="1" x="390"/>
        <item m="1" x="878"/>
        <item m="1" x="406"/>
        <item m="1" x="895"/>
        <item m="1" x="422"/>
        <item m="1" x="909"/>
        <item m="1" x="435"/>
        <item m="1" x="921"/>
        <item m="1" x="449"/>
        <item m="1" x="933"/>
        <item m="1" x="717"/>
        <item m="1" x="248"/>
        <item m="1" x="732"/>
        <item m="1" x="263"/>
        <item m="1" x="750"/>
        <item m="1" x="282"/>
        <item m="1" x="772"/>
        <item m="1" x="301"/>
        <item m="1" x="789"/>
        <item m="1" x="322"/>
        <item m="1" x="808"/>
        <item m="1" x="340"/>
        <item m="1" x="826"/>
        <item m="1" x="355"/>
        <item m="1" x="844"/>
        <item m="1" x="375"/>
        <item m="1" x="864"/>
        <item m="1" x="392"/>
        <item m="1" x="881"/>
        <item m="1" x="409"/>
        <item m="1" x="898"/>
        <item m="1" x="425"/>
        <item m="1" x="911"/>
        <item m="1" x="438"/>
        <item m="1" x="923"/>
        <item m="1" x="452"/>
        <item m="1" x="935"/>
        <item m="1" x="463"/>
        <item m="1" x="3"/>
        <item m="1" x="474"/>
        <item m="1" x="752"/>
        <item m="1" x="284"/>
        <item m="1" x="774"/>
        <item m="1" x="304"/>
        <item m="1" x="792"/>
        <item m="1" x="325"/>
        <item m="1" x="811"/>
        <item m="1" x="342"/>
        <item m="1" x="828"/>
        <item m="1" x="358"/>
        <item m="1" x="847"/>
        <item m="1" x="378"/>
        <item m="1" x="866"/>
        <item m="1" x="394"/>
        <item m="1" x="883"/>
        <item m="1" x="412"/>
        <item m="1" x="901"/>
        <item m="1" x="428"/>
        <item m="1" x="914"/>
        <item m="1" x="441"/>
        <item m="1" x="925"/>
        <item m="1" x="454"/>
        <item m="1" x="937"/>
        <item m="1" x="465"/>
        <item m="1" x="5"/>
        <item m="1" x="476"/>
        <item m="1" x="11"/>
        <item m="1" x="483"/>
        <item m="1" x="18"/>
        <item m="1" x="494"/>
        <item m="1" x="30"/>
        <item m="1" x="795"/>
        <item m="1" x="328"/>
        <item m="1" x="814"/>
        <item m="1" x="344"/>
        <item m="1" x="830"/>
        <item m="1" x="361"/>
        <item m="1" x="851"/>
        <item m="1" x="381"/>
        <item m="1" x="869"/>
        <item m="1" x="396"/>
        <item m="1" x="886"/>
        <item m="1" x="414"/>
        <item m="1" x="903"/>
        <item m="1" x="431"/>
        <item m="1" x="917"/>
        <item m="1" x="444"/>
        <item m="1" x="928"/>
        <item m="1" x="457"/>
        <item m="1" x="940"/>
        <item m="1" x="467"/>
        <item m="1" x="7"/>
        <item m="1" x="478"/>
        <item m="1" x="13"/>
        <item m="1" x="486"/>
        <item m="1" x="21"/>
        <item m="1" x="497"/>
        <item m="1" x="32"/>
        <item m="1" x="506"/>
        <item m="1" x="41"/>
        <item m="1" x="518"/>
        <item m="1" x="832"/>
        <item m="1" x="364"/>
        <item m="1" x="854"/>
        <item m="1" x="383"/>
        <item m="1" x="872"/>
        <item m="1" x="399"/>
        <item m="1" x="889"/>
        <item m="1" x="416"/>
        <item m="1" x="905"/>
        <item m="1" x="433"/>
        <item m="1" x="919"/>
        <item m="1" x="447"/>
        <item m="1" x="931"/>
        <item m="1" x="460"/>
        <item m="1" x="943"/>
        <item m="1" x="470"/>
        <item m="1" x="9"/>
        <item m="1" x="480"/>
        <item m="1" x="16"/>
        <item m="1" x="489"/>
        <item m="1" x="24"/>
        <item m="1" x="500"/>
        <item m="1" x="35"/>
        <item m="1" x="509"/>
        <item m="1" x="44"/>
        <item m="1" x="521"/>
        <item m="1" x="53"/>
        <item m="1" x="530"/>
        <item m="1" x="62"/>
        <item m="1" x="541"/>
        <item m="1" x="73"/>
        <item m="1" x="492"/>
        <item m="1" x="27"/>
        <item m="1" x="503"/>
        <item m="1" x="38"/>
        <item m="1" x="512"/>
        <item m="1" x="47"/>
        <item m="1" x="524"/>
        <item m="1" x="56"/>
        <item m="1" x="533"/>
        <item m="1" x="65"/>
        <item m="1" x="544"/>
        <item m="1" x="77"/>
        <item m="1" x="553"/>
        <item m="1" x="85"/>
        <item m="1" x="563"/>
        <item m="1" x="95"/>
        <item m="1" x="573"/>
        <item m="1" x="105"/>
        <item m="1" x="586"/>
        <item m="1" x="118"/>
        <item m="1" x="599"/>
        <item m="1" x="131"/>
        <item m="1" x="615"/>
        <item m="1" x="147"/>
        <item m="1" x="630"/>
        <item m="1" x="164"/>
        <item m="1" x="647"/>
        <item m="1" x="181"/>
        <item m="1" x="665"/>
        <item m="1" x="199"/>
        <item m="1" x="684"/>
        <item m="1" x="515"/>
        <item m="1" x="50"/>
        <item m="1" x="527"/>
        <item m="1" x="59"/>
        <item m="1" x="536"/>
        <item m="1" x="68"/>
        <item m="1" x="547"/>
        <item m="1" x="80"/>
        <item m="1" x="556"/>
        <item m="1" x="88"/>
        <item m="1" x="566"/>
        <item m="1" x="98"/>
        <item m="1" x="577"/>
        <item m="1" x="109"/>
        <item m="1" x="589"/>
        <item m="1" x="121"/>
        <item m="1" x="602"/>
        <item m="1" x="135"/>
        <item m="1" x="619"/>
        <item m="1" x="151"/>
        <item m="1" x="634"/>
        <item m="1" x="168"/>
        <item m="1" x="650"/>
        <item m="1" x="184"/>
        <item m="1" x="668"/>
        <item m="1" x="203"/>
        <item m="1" x="688"/>
        <item m="1" x="220"/>
        <item m="1" x="539"/>
        <item m="1" x="71"/>
        <item m="1" x="550"/>
        <item m="1" x="83"/>
        <item m="1" x="559"/>
        <item m="1" x="91"/>
        <item m="1" x="569"/>
        <item m="1" x="101"/>
        <item m="1" x="580"/>
        <item m="1" x="112"/>
        <item m="1" x="592"/>
        <item m="1" x="124"/>
        <item m="1" x="605"/>
        <item m="1" x="138"/>
        <item m="1" x="621"/>
        <item m="1" x="153"/>
        <item m="1" x="636"/>
        <item m="1" x="170"/>
        <item m="1" x="652"/>
        <item m="1" x="186"/>
        <item m="1" x="670"/>
        <item m="1" x="205"/>
        <item m="1" x="690"/>
        <item m="1" x="222"/>
        <item m="1" x="704"/>
        <item m="1" x="235"/>
        <item m="1" x="720"/>
        <item m="1" x="251"/>
        <item m="1" x="735"/>
        <item m="1" x="268"/>
        <item m="1" x="757"/>
        <item m="1" x="561"/>
        <item m="1" x="93"/>
        <item m="1" x="571"/>
        <item m="1" x="103"/>
        <item m="1" x="582"/>
        <item m="1" x="114"/>
        <item m="1" x="594"/>
        <item m="1" x="127"/>
        <item m="1" x="608"/>
        <item m="1" x="141"/>
        <item m="1" x="624"/>
        <item m="1" x="156"/>
        <item m="1" x="638"/>
        <item m="1" x="172"/>
        <item m="1" x="655"/>
        <item m="1" x="188"/>
        <item m="1" x="673"/>
        <item m="1" x="208"/>
        <item m="1" x="692"/>
        <item m="1" x="224"/>
        <item m="1" x="706"/>
        <item m="1" x="238"/>
        <item m="1" x="723"/>
        <item m="1" x="253"/>
        <item m="1" x="738"/>
        <item m="1" x="271"/>
        <item m="1" x="760"/>
        <item m="1" x="289"/>
        <item m="1" x="778"/>
        <item m="1" x="309"/>
        <item m="1" x="584"/>
        <item m="1" x="116"/>
        <item m="1" x="596"/>
        <item m="1" x="129"/>
        <item m="1" x="611"/>
        <item m="1" x="143"/>
        <item m="1" x="626"/>
        <item m="1" x="158"/>
        <item m="1" x="640"/>
        <item m="1" x="174"/>
        <item m="1" x="658"/>
        <item m="1" x="192"/>
        <item m="1" x="675"/>
        <item m="1" x="210"/>
        <item m="1" x="694"/>
        <item m="1" x="226"/>
        <item m="1" x="708"/>
        <item m="1" x="240"/>
        <item m="1" x="725"/>
        <item m="1" x="255"/>
        <item m="1" x="740"/>
        <item m="1" x="273"/>
        <item m="1" x="762"/>
        <item m="1" x="291"/>
        <item m="1" x="781"/>
        <item m="1" x="313"/>
        <item m="1" x="799"/>
        <item m="1" x="331"/>
        <item m="1" x="817"/>
        <item m="1" x="347"/>
        <item m="1" x="835"/>
        <item m="1" x="613"/>
        <item m="1" x="145"/>
        <item m="1" x="628"/>
        <item m="1" x="160"/>
        <item m="1" x="642"/>
        <item m="1" x="176"/>
        <item m="1" x="660"/>
        <item m="1" x="194"/>
        <item m="1" x="677"/>
        <item m="1" x="212"/>
        <item m="1" x="696"/>
        <item m="1" x="228"/>
        <item m="1" x="710"/>
        <item m="1" x="242"/>
        <item m="1" x="727"/>
        <item m="1" x="257"/>
        <item m="1" x="743"/>
        <item m="1" x="275"/>
        <item m="1" x="765"/>
        <item m="1" x="294"/>
        <item m="1" x="783"/>
        <item m="1" x="316"/>
        <item m="1" x="802"/>
        <item m="1" x="333"/>
        <item m="1" x="819"/>
        <item m="1" x="349"/>
        <item m="1" x="837"/>
        <item m="1" x="368"/>
        <item m="1" x="859"/>
        <item m="1" x="386"/>
        <item m="1" x="644"/>
        <item m="1" x="178"/>
        <item m="1" x="662"/>
        <item m="1" x="196"/>
        <item m="1" x="680"/>
        <item m="1" x="215"/>
        <item m="1" x="699"/>
        <item m="1" x="231"/>
        <item m="1" x="713"/>
        <item m="1" x="245"/>
        <item m="1" x="729"/>
        <item m="1" x="260"/>
        <item m="1" x="746"/>
        <item m="1" x="278"/>
        <item m="1" x="768"/>
        <item m="1" x="298"/>
        <item m="1" x="785"/>
        <item m="1" x="318"/>
        <item m="1" x="805"/>
        <item m="1" x="336"/>
        <item m="1" x="822"/>
        <item m="1" x="351"/>
        <item m="1" x="840"/>
        <item m="1" x="371"/>
        <item m="1" x="861"/>
        <item m="1" x="389"/>
        <item m="1" x="877"/>
        <item m="1" x="405"/>
        <item m="1" x="894"/>
        <item m="1" x="421"/>
        <item m="1" x="908"/>
        <item m="1" x="682"/>
        <item m="1" x="217"/>
        <item m="1" x="701"/>
        <item m="1" x="233"/>
        <item m="1" x="716"/>
        <item m="1" x="247"/>
        <item m="1" x="731"/>
        <item m="1" x="262"/>
        <item m="1" x="748"/>
        <item m="1" x="281"/>
        <item m="1" x="771"/>
        <item m="1" x="300"/>
        <item m="1" x="788"/>
        <item m="1" x="321"/>
        <item m="1" x="807"/>
        <item m="1" x="339"/>
        <item m="1" x="825"/>
        <item m="1" x="354"/>
        <item m="1" x="843"/>
        <item m="1" x="374"/>
        <item m="1" x="863"/>
        <item m="1" x="391"/>
        <item m="1" x="880"/>
        <item m="1" x="408"/>
        <item m="1" x="897"/>
        <item m="1" x="424"/>
        <item m="1" x="910"/>
        <item m="1" x="437"/>
        <item m="1" x="922"/>
        <item m="1" x="451"/>
        <item m="1" x="934"/>
        <item m="1" x="718"/>
        <item m="1" x="249"/>
        <item m="1" x="733"/>
        <item m="1" x="264"/>
        <item m="1" x="751"/>
        <item m="1" x="283"/>
        <item m="1" x="773"/>
        <item m="1" x="303"/>
        <item m="1" x="791"/>
        <item m="1" x="324"/>
        <item m="1" x="810"/>
        <item m="1" x="341"/>
        <item m="1" x="827"/>
        <item m="1" x="357"/>
        <item m="1" x="846"/>
        <item m="1" x="377"/>
        <item m="1" x="865"/>
        <item m="1" x="393"/>
        <item m="1" x="882"/>
        <item m="1" x="410"/>
        <item m="1" x="900"/>
        <item m="1" x="427"/>
        <item m="1" x="913"/>
        <item m="1" x="440"/>
        <item m="1" x="924"/>
        <item m="1" x="453"/>
        <item m="1" x="936"/>
        <item m="1" x="464"/>
        <item m="1" x="4"/>
        <item m="1" x="475"/>
        <item m="1" x="753"/>
        <item m="1" x="285"/>
        <item m="1" x="775"/>
        <item m="1" x="305"/>
        <item m="1" x="794"/>
        <item m="1" x="327"/>
        <item m="1" x="813"/>
        <item m="1" x="343"/>
        <item m="1" x="829"/>
        <item m="1" x="359"/>
        <item m="1" x="849"/>
        <item m="1" x="380"/>
        <item m="1" x="868"/>
        <item m="1" x="395"/>
        <item m="1" x="885"/>
        <item m="1" x="413"/>
        <item m="1" x="902"/>
        <item m="1" x="430"/>
        <item m="1" x="916"/>
        <item m="1" x="443"/>
        <item m="1" x="927"/>
        <item m="1" x="456"/>
        <item m="1" x="939"/>
        <item m="1" x="466"/>
        <item m="1" x="6"/>
        <item m="1" x="477"/>
        <item m="1" x="12"/>
        <item m="1" x="485"/>
        <item m="1" x="20"/>
        <item m="1" x="496"/>
        <item m="1" x="31"/>
        <item m="1" x="796"/>
        <item m="1" x="329"/>
        <item m="1" x="815"/>
        <item m="1" x="345"/>
        <item m="1" x="831"/>
        <item m="1" x="363"/>
        <item m="1" x="853"/>
        <item m="1" x="382"/>
        <item m="1" x="871"/>
        <item m="1" x="398"/>
        <item m="1" x="888"/>
        <item m="1" x="415"/>
        <item m="1" x="904"/>
        <item m="1" x="432"/>
        <item m="1" x="918"/>
        <item m="1" x="446"/>
        <item m="1" x="930"/>
        <item m="1" x="459"/>
        <item m="1" x="942"/>
        <item m="1" x="469"/>
        <item m="1" x="8"/>
        <item m="1" x="479"/>
        <item m="1" x="15"/>
        <item m="1" x="488"/>
        <item m="1" x="23"/>
        <item m="1" x="499"/>
        <item m="1" x="34"/>
        <item m="1" x="508"/>
        <item m="1" x="43"/>
        <item m="1" x="520"/>
        <item m="1" x="833"/>
        <item m="1" x="365"/>
        <item m="1" x="855"/>
        <item m="1" x="384"/>
        <item m="1" x="873"/>
        <item m="1" x="400"/>
        <item m="1" x="890"/>
        <item m="1" x="417"/>
        <item m="1" x="906"/>
        <item m="1" x="434"/>
        <item m="1" x="920"/>
        <item m="1" x="448"/>
        <item m="1" x="932"/>
        <item m="1" x="461"/>
        <item m="1" x="944"/>
        <item m="1" x="471"/>
        <item m="1" x="10"/>
        <item m="1" x="481"/>
        <item m="1" x="17"/>
        <item m="1" x="490"/>
        <item m="1" x="25"/>
        <item m="1" x="501"/>
        <item m="1" x="36"/>
        <item m="1" x="510"/>
        <item m="1" x="45"/>
        <item m="1" x="522"/>
        <item m="1" x="54"/>
        <item m="1" x="531"/>
        <item m="1" x="63"/>
        <item m="1" x="542"/>
        <item m="1" x="74"/>
        <item m="1" x="493"/>
        <item m="1" x="28"/>
        <item m="1" x="504"/>
        <item m="1" x="39"/>
        <item m="1" x="514"/>
        <item m="1" x="49"/>
        <item m="1" x="526"/>
        <item m="1" x="58"/>
        <item m="1" x="535"/>
        <item m="1" x="67"/>
        <item m="1" x="546"/>
        <item m="1" x="79"/>
        <item m="1" x="555"/>
        <item m="1" x="87"/>
        <item m="1" x="565"/>
        <item m="1" x="97"/>
        <item m="1" x="575"/>
        <item m="1" x="107"/>
        <item m="1" x="588"/>
        <item m="1" x="120"/>
        <item m="1" x="601"/>
        <item m="1" x="133"/>
        <item m="1" x="617"/>
        <item m="1" x="149"/>
        <item m="1" x="632"/>
        <item m="1" x="166"/>
        <item m="1" x="649"/>
        <item m="1" x="183"/>
        <item m="1" x="667"/>
        <item m="1" x="201"/>
        <item m="1" x="686"/>
        <item m="1" x="516"/>
        <item m="1" x="51"/>
        <item m="1" x="528"/>
        <item m="1" x="60"/>
        <item m="1" x="538"/>
        <item m="1" x="70"/>
        <item m="1" x="549"/>
        <item m="1" x="82"/>
        <item m="1" x="558"/>
        <item m="1" x="90"/>
        <item m="1" x="568"/>
        <item m="1" x="100"/>
        <item m="1" x="579"/>
        <item m="1" x="111"/>
        <item m="1" x="591"/>
        <item m="1" x="123"/>
        <item m="1" x="604"/>
        <item m="1" x="137"/>
        <item x="1"/>
        <item x="0"/>
        <item t="default"/>
      </items>
    </pivotField>
    <pivotField axis="axisPage" showAll="0">
      <items count="797">
        <item m="1" x="294"/>
        <item m="1" x="696"/>
        <item m="1" x="306"/>
        <item x="1"/>
        <item m="1" x="708"/>
        <item m="1" x="318"/>
        <item m="1" x="720"/>
        <item m="1" x="330"/>
        <item m="1" x="733"/>
        <item m="1" x="343"/>
        <item m="1" x="746"/>
        <item m="1" x="356"/>
        <item m="1" x="759"/>
        <item m="1" x="369"/>
        <item m="1" x="772"/>
        <item m="1" x="382"/>
        <item m="1" x="785"/>
        <item m="1" x="395"/>
        <item m="1" x="4"/>
        <item m="1" x="408"/>
        <item m="1" x="17"/>
        <item m="1" x="421"/>
        <item m="1" x="30"/>
        <item m="1" x="434"/>
        <item m="1" x="43"/>
        <item m="1" x="447"/>
        <item m="1" x="56"/>
        <item m="1" x="459"/>
        <item m="1" x="68"/>
        <item m="1" x="471"/>
        <item m="1" x="80"/>
        <item m="1" x="483"/>
        <item m="1" x="92"/>
        <item m="1" x="495"/>
        <item m="1" x="104"/>
        <item m="1" x="507"/>
        <item m="1" x="116"/>
        <item m="1" x="519"/>
        <item m="1" x="128"/>
        <item m="1" x="531"/>
        <item m="1" x="726"/>
        <item m="1" x="140"/>
        <item m="1" x="336"/>
        <item m="1" x="543"/>
        <item m="1" x="739"/>
        <item m="1" x="152"/>
        <item m="1" x="349"/>
        <item m="1" x="555"/>
        <item m="1" x="752"/>
        <item m="1" x="164"/>
        <item m="1" x="362"/>
        <item m="1" x="567"/>
        <item m="1" x="765"/>
        <item m="1" x="176"/>
        <item m="1" x="375"/>
        <item m="1" x="579"/>
        <item m="1" x="778"/>
        <item m="1" x="188"/>
        <item m="1" x="388"/>
        <item m="1" x="591"/>
        <item m="1" x="791"/>
        <item m="1" x="200"/>
        <item m="1" x="401"/>
        <item m="1" x="603"/>
        <item m="1" x="10"/>
        <item m="1" x="212"/>
        <item m="1" x="414"/>
        <item m="1" x="615"/>
        <item m="1" x="23"/>
        <item m="1" x="224"/>
        <item m="1" x="427"/>
        <item m="1" x="627"/>
        <item m="1" x="36"/>
        <item m="1" x="236"/>
        <item m="1" x="440"/>
        <item m="1" x="639"/>
        <item m="1" x="49"/>
        <item m="1" x="248"/>
        <item m="1" x="453"/>
        <item m="1" x="651"/>
        <item m="1" x="62"/>
        <item m="1" x="260"/>
        <item m="1" x="465"/>
        <item m="1" x="662"/>
        <item m="1" x="74"/>
        <item m="1" x="271"/>
        <item m="1" x="477"/>
        <item m="1" x="673"/>
        <item m="1" x="86"/>
        <item m="1" x="282"/>
        <item m="1" x="489"/>
        <item m="1" x="684"/>
        <item m="1" x="98"/>
        <item m="1" x="293"/>
        <item m="1" x="501"/>
        <item m="1" x="695"/>
        <item m="1" x="110"/>
        <item m="1" x="305"/>
        <item m="1" x="513"/>
        <item m="1" x="707"/>
        <item m="1" x="122"/>
        <item m="1" x="317"/>
        <item m="1" x="525"/>
        <item m="1" x="719"/>
        <item m="1" x="134"/>
        <item m="1" x="329"/>
        <item m="1" x="537"/>
        <item m="1" x="732"/>
        <item m="1" x="146"/>
        <item m="1" x="342"/>
        <item m="1" x="549"/>
        <item m="1" x="745"/>
        <item m="1" x="158"/>
        <item m="1" x="355"/>
        <item m="1" x="561"/>
        <item m="1" x="758"/>
        <item m="1" x="170"/>
        <item m="1" x="368"/>
        <item m="1" x="573"/>
        <item m="1" x="771"/>
        <item m="1" x="182"/>
        <item m="1" x="381"/>
        <item m="1" x="585"/>
        <item m="1" x="784"/>
        <item m="1" x="194"/>
        <item m="1" x="394"/>
        <item m="1" x="597"/>
        <item m="1" x="3"/>
        <item m="1" x="206"/>
        <item m="1" x="407"/>
        <item m="1" x="609"/>
        <item m="1" x="16"/>
        <item m="1" x="218"/>
        <item m="1" x="420"/>
        <item m="1" x="621"/>
        <item m="1" x="29"/>
        <item m="1" x="230"/>
        <item m="1" x="433"/>
        <item m="1" x="633"/>
        <item m="1" x="42"/>
        <item m="1" x="242"/>
        <item m="1" x="446"/>
        <item m="1" x="645"/>
        <item m="1" x="55"/>
        <item m="1" x="254"/>
        <item m="1" x="458"/>
        <item m="1" x="656"/>
        <item m="1" x="67"/>
        <item m="1" x="265"/>
        <item m="1" x="470"/>
        <item m="1" x="667"/>
        <item m="1" x="79"/>
        <item m="1" x="276"/>
        <item m="1" x="482"/>
        <item m="1" x="678"/>
        <item m="1" x="91"/>
        <item m="1" x="287"/>
        <item m="1" x="494"/>
        <item m="1" x="689"/>
        <item m="1" x="103"/>
        <item m="1" x="299"/>
        <item m="1" x="506"/>
        <item m="1" x="701"/>
        <item m="1" x="115"/>
        <item m="1" x="311"/>
        <item m="1" x="518"/>
        <item m="1" x="713"/>
        <item m="1" x="127"/>
        <item m="1" x="323"/>
        <item m="1" x="530"/>
        <item m="1" x="725"/>
        <item m="1" x="139"/>
        <item m="1" x="335"/>
        <item m="1" x="542"/>
        <item m="1" x="738"/>
        <item m="1" x="151"/>
        <item m="1" x="348"/>
        <item m="1" x="554"/>
        <item m="1" x="751"/>
        <item m="1" x="163"/>
        <item m="1" x="361"/>
        <item m="1" x="566"/>
        <item m="1" x="764"/>
        <item m="1" x="175"/>
        <item m="1" x="374"/>
        <item m="1" x="578"/>
        <item m="1" x="777"/>
        <item m="1" x="187"/>
        <item m="1" x="387"/>
        <item m="1" x="590"/>
        <item m="1" x="790"/>
        <item m="1" x="199"/>
        <item m="1" x="400"/>
        <item m="1" x="602"/>
        <item m="1" x="9"/>
        <item m="1" x="211"/>
        <item m="1" x="413"/>
        <item m="1" x="614"/>
        <item m="1" x="22"/>
        <item m="1" x="223"/>
        <item m="1" x="426"/>
        <item m="1" x="626"/>
        <item m="1" x="35"/>
        <item m="1" x="235"/>
        <item m="1" x="439"/>
        <item m="1" x="638"/>
        <item m="1" x="48"/>
        <item m="1" x="247"/>
        <item m="1" x="452"/>
        <item m="1" x="650"/>
        <item m="1" x="61"/>
        <item m="1" x="259"/>
        <item m="1" x="464"/>
        <item m="1" x="661"/>
        <item m="1" x="73"/>
        <item m="1" x="270"/>
        <item m="1" x="476"/>
        <item m="1" x="672"/>
        <item m="1" x="85"/>
        <item m="1" x="281"/>
        <item m="1" x="488"/>
        <item m="1" x="683"/>
        <item m="1" x="97"/>
        <item m="1" x="292"/>
        <item m="1" x="500"/>
        <item m="1" x="694"/>
        <item m="1" x="109"/>
        <item m="1" x="304"/>
        <item m="1" x="512"/>
        <item m="1" x="706"/>
        <item m="1" x="121"/>
        <item m="1" x="316"/>
        <item m="1" x="524"/>
        <item m="1" x="718"/>
        <item m="1" x="133"/>
        <item m="1" x="328"/>
        <item m="1" x="536"/>
        <item m="1" x="731"/>
        <item m="1" x="145"/>
        <item m="1" x="341"/>
        <item m="1" x="548"/>
        <item m="1" x="744"/>
        <item m="1" x="157"/>
        <item m="1" x="354"/>
        <item m="1" x="560"/>
        <item m="1" x="757"/>
        <item m="1" x="169"/>
        <item m="1" x="367"/>
        <item m="1" x="572"/>
        <item m="1" x="770"/>
        <item m="1" x="181"/>
        <item m="1" x="380"/>
        <item m="1" x="584"/>
        <item m="1" x="783"/>
        <item m="1" x="193"/>
        <item m="1" x="393"/>
        <item m="1" x="596"/>
        <item m="1" x="2"/>
        <item m="1" x="205"/>
        <item m="1" x="406"/>
        <item m="1" x="608"/>
        <item m="1" x="15"/>
        <item m="1" x="217"/>
        <item m="1" x="419"/>
        <item m="1" x="620"/>
        <item m="1" x="28"/>
        <item m="1" x="229"/>
        <item m="1" x="432"/>
        <item m="1" x="632"/>
        <item m="1" x="41"/>
        <item m="1" x="241"/>
        <item m="1" x="445"/>
        <item m="1" x="644"/>
        <item m="1" x="54"/>
        <item m="1" x="253"/>
        <item m="1" x="457"/>
        <item m="1" x="655"/>
        <item m="1" x="66"/>
        <item m="1" x="264"/>
        <item m="1" x="469"/>
        <item m="1" x="666"/>
        <item m="1" x="78"/>
        <item m="1" x="275"/>
        <item m="1" x="481"/>
        <item m="1" x="677"/>
        <item m="1" x="90"/>
        <item m="1" x="286"/>
        <item m="1" x="493"/>
        <item m="1" x="688"/>
        <item m="1" x="102"/>
        <item m="1" x="298"/>
        <item m="1" x="505"/>
        <item m="1" x="700"/>
        <item m="1" x="114"/>
        <item m="1" x="310"/>
        <item m="1" x="517"/>
        <item m="1" x="712"/>
        <item m="1" x="126"/>
        <item m="1" x="322"/>
        <item m="1" x="529"/>
        <item m="1" x="724"/>
        <item m="1" x="138"/>
        <item m="1" x="334"/>
        <item m="1" x="541"/>
        <item m="1" x="737"/>
        <item m="1" x="150"/>
        <item m="1" x="347"/>
        <item m="1" x="553"/>
        <item m="1" x="750"/>
        <item m="1" x="162"/>
        <item m="1" x="360"/>
        <item m="1" x="565"/>
        <item m="1" x="763"/>
        <item m="1" x="174"/>
        <item m="1" x="373"/>
        <item m="1" x="577"/>
        <item m="1" x="776"/>
        <item m="1" x="186"/>
        <item m="1" x="386"/>
        <item m="1" x="589"/>
        <item m="1" x="789"/>
        <item m="1" x="198"/>
        <item m="1" x="399"/>
        <item m="1" x="601"/>
        <item m="1" x="8"/>
        <item m="1" x="210"/>
        <item m="1" x="412"/>
        <item m="1" x="613"/>
        <item m="1" x="21"/>
        <item m="1" x="222"/>
        <item m="1" x="425"/>
        <item m="1" x="625"/>
        <item m="1" x="34"/>
        <item m="1" x="234"/>
        <item m="1" x="438"/>
        <item m="1" x="637"/>
        <item m="1" x="47"/>
        <item m="1" x="246"/>
        <item m="1" x="451"/>
        <item m="1" x="649"/>
        <item m="1" x="60"/>
        <item m="1" x="258"/>
        <item m="1" x="463"/>
        <item m="1" x="660"/>
        <item m="1" x="72"/>
        <item m="1" x="269"/>
        <item m="1" x="475"/>
        <item m="1" x="671"/>
        <item m="1" x="84"/>
        <item m="1" x="280"/>
        <item m="1" x="487"/>
        <item m="1" x="682"/>
        <item m="1" x="96"/>
        <item m="1" x="291"/>
        <item m="1" x="499"/>
        <item m="1" x="693"/>
        <item m="1" x="108"/>
        <item m="1" x="303"/>
        <item m="1" x="511"/>
        <item m="1" x="705"/>
        <item m="1" x="120"/>
        <item m="1" x="315"/>
        <item m="1" x="523"/>
        <item m="1" x="717"/>
        <item m="1" x="132"/>
        <item m="1" x="327"/>
        <item m="1" x="535"/>
        <item m="1" x="730"/>
        <item m="1" x="144"/>
        <item m="1" x="340"/>
        <item m="1" x="547"/>
        <item m="1" x="743"/>
        <item m="1" x="156"/>
        <item m="1" x="353"/>
        <item m="1" x="559"/>
        <item m="1" x="756"/>
        <item m="1" x="168"/>
        <item m="1" x="366"/>
        <item m="1" x="571"/>
        <item m="1" x="769"/>
        <item m="1" x="180"/>
        <item m="1" x="379"/>
        <item m="1" x="583"/>
        <item m="1" x="782"/>
        <item m="1" x="192"/>
        <item m="1" x="392"/>
        <item m="1" x="595"/>
        <item m="1" x="795"/>
        <item m="1" x="204"/>
        <item m="1" x="405"/>
        <item m="1" x="607"/>
        <item m="1" x="14"/>
        <item m="1" x="216"/>
        <item m="1" x="418"/>
        <item m="1" x="619"/>
        <item m="1" x="27"/>
        <item m="1" x="228"/>
        <item m="1" x="431"/>
        <item m="1" x="631"/>
        <item m="1" x="40"/>
        <item m="1" x="240"/>
        <item m="1" x="444"/>
        <item m="1" x="643"/>
        <item m="1" x="53"/>
        <item m="1" x="252"/>
        <item m="1" x="456"/>
        <item m="1" x="654"/>
        <item m="1" x="65"/>
        <item m="1" x="263"/>
        <item m="1" x="468"/>
        <item m="1" x="665"/>
        <item m="1" x="77"/>
        <item m="1" x="274"/>
        <item m="1" x="480"/>
        <item m="1" x="676"/>
        <item m="1" x="89"/>
        <item m="1" x="285"/>
        <item m="1" x="492"/>
        <item m="1" x="687"/>
        <item m="1" x="101"/>
        <item m="1" x="297"/>
        <item m="1" x="504"/>
        <item m="1" x="699"/>
        <item m="1" x="113"/>
        <item m="1" x="309"/>
        <item m="1" x="516"/>
        <item m="1" x="711"/>
        <item m="1" x="125"/>
        <item m="1" x="321"/>
        <item m="1" x="528"/>
        <item m="1" x="723"/>
        <item m="1" x="137"/>
        <item m="1" x="333"/>
        <item m="1" x="540"/>
        <item m="1" x="736"/>
        <item m="1" x="149"/>
        <item m="1" x="346"/>
        <item m="1" x="552"/>
        <item m="1" x="749"/>
        <item m="1" x="161"/>
        <item m="1" x="359"/>
        <item m="1" x="564"/>
        <item m="1" x="762"/>
        <item m="1" x="173"/>
        <item m="1" x="372"/>
        <item m="1" x="576"/>
        <item m="1" x="775"/>
        <item m="1" x="185"/>
        <item m="1" x="385"/>
        <item m="1" x="588"/>
        <item m="1" x="788"/>
        <item m="1" x="197"/>
        <item m="1" x="398"/>
        <item m="1" x="600"/>
        <item m="1" x="7"/>
        <item m="1" x="209"/>
        <item m="1" x="411"/>
        <item m="1" x="612"/>
        <item m="1" x="20"/>
        <item m="1" x="221"/>
        <item m="1" x="424"/>
        <item m="1" x="624"/>
        <item m="1" x="33"/>
        <item m="1" x="233"/>
        <item m="1" x="437"/>
        <item m="1" x="636"/>
        <item m="1" x="46"/>
        <item m="1" x="245"/>
        <item m="1" x="450"/>
        <item m="1" x="648"/>
        <item m="1" x="59"/>
        <item m="1" x="257"/>
        <item m="1" x="462"/>
        <item m="1" x="659"/>
        <item m="1" x="71"/>
        <item m="1" x="268"/>
        <item m="1" x="474"/>
        <item m="1" x="670"/>
        <item m="1" x="83"/>
        <item m="1" x="279"/>
        <item m="1" x="486"/>
        <item m="1" x="681"/>
        <item m="1" x="95"/>
        <item m="1" x="290"/>
        <item m="1" x="498"/>
        <item m="1" x="692"/>
        <item m="1" x="107"/>
        <item m="1" x="302"/>
        <item m="1" x="510"/>
        <item m="1" x="704"/>
        <item m="1" x="119"/>
        <item m="1" x="314"/>
        <item m="1" x="522"/>
        <item m="1" x="716"/>
        <item m="1" x="131"/>
        <item m="1" x="326"/>
        <item m="1" x="534"/>
        <item m="1" x="729"/>
        <item m="1" x="143"/>
        <item m="1" x="339"/>
        <item m="1" x="546"/>
        <item m="1" x="742"/>
        <item m="1" x="155"/>
        <item m="1" x="352"/>
        <item m="1" x="558"/>
        <item m="1" x="755"/>
        <item m="1" x="167"/>
        <item m="1" x="365"/>
        <item m="1" x="570"/>
        <item m="1" x="768"/>
        <item m="1" x="179"/>
        <item m="1" x="378"/>
        <item m="1" x="582"/>
        <item m="1" x="781"/>
        <item m="1" x="191"/>
        <item m="1" x="391"/>
        <item m="1" x="594"/>
        <item m="1" x="794"/>
        <item m="1" x="203"/>
        <item m="1" x="404"/>
        <item m="1" x="606"/>
        <item m="1" x="13"/>
        <item m="1" x="215"/>
        <item m="1" x="417"/>
        <item m="1" x="618"/>
        <item m="1" x="26"/>
        <item m="1" x="227"/>
        <item m="1" x="430"/>
        <item m="1" x="630"/>
        <item m="1" x="39"/>
        <item m="1" x="239"/>
        <item m="1" x="443"/>
        <item m="1" x="642"/>
        <item m="1" x="52"/>
        <item m="1" x="251"/>
        <item m="1" x="455"/>
        <item m="1" x="653"/>
        <item m="1" x="64"/>
        <item m="1" x="262"/>
        <item m="1" x="467"/>
        <item m="1" x="664"/>
        <item m="1" x="76"/>
        <item m="1" x="273"/>
        <item m="1" x="479"/>
        <item m="1" x="675"/>
        <item m="1" x="88"/>
        <item m="1" x="284"/>
        <item m="1" x="491"/>
        <item m="1" x="686"/>
        <item m="1" x="100"/>
        <item m="1" x="296"/>
        <item m="1" x="503"/>
        <item m="1" x="698"/>
        <item m="1" x="112"/>
        <item m="1" x="308"/>
        <item m="1" x="515"/>
        <item m="1" x="710"/>
        <item m="1" x="124"/>
        <item m="1" x="320"/>
        <item m="1" x="527"/>
        <item m="1" x="722"/>
        <item m="1" x="136"/>
        <item m="1" x="332"/>
        <item m="1" x="539"/>
        <item m="1" x="735"/>
        <item m="1" x="148"/>
        <item m="1" x="345"/>
        <item m="1" x="551"/>
        <item m="1" x="748"/>
        <item m="1" x="160"/>
        <item m="1" x="358"/>
        <item m="1" x="563"/>
        <item m="1" x="761"/>
        <item m="1" x="172"/>
        <item m="1" x="371"/>
        <item m="1" x="575"/>
        <item m="1" x="774"/>
        <item m="1" x="184"/>
        <item m="1" x="384"/>
        <item m="1" x="587"/>
        <item m="1" x="787"/>
        <item m="1" x="196"/>
        <item m="1" x="397"/>
        <item m="1" x="599"/>
        <item m="1" x="6"/>
        <item m="1" x="208"/>
        <item m="1" x="410"/>
        <item m="1" x="611"/>
        <item m="1" x="19"/>
        <item m="1" x="220"/>
        <item m="1" x="423"/>
        <item m="1" x="623"/>
        <item m="1" x="32"/>
        <item m="1" x="232"/>
        <item m="1" x="436"/>
        <item m="1" x="635"/>
        <item m="1" x="45"/>
        <item m="1" x="244"/>
        <item m="1" x="449"/>
        <item m="1" x="647"/>
        <item m="1" x="58"/>
        <item m="1" x="256"/>
        <item m="1" x="461"/>
        <item m="1" x="658"/>
        <item m="1" x="70"/>
        <item m="1" x="267"/>
        <item m="1" x="473"/>
        <item m="1" x="669"/>
        <item m="1" x="82"/>
        <item m="1" x="278"/>
        <item m="1" x="485"/>
        <item m="1" x="680"/>
        <item m="1" x="94"/>
        <item m="1" x="289"/>
        <item m="1" x="497"/>
        <item m="1" x="691"/>
        <item m="1" x="106"/>
        <item m="1" x="301"/>
        <item m="1" x="509"/>
        <item m="1" x="703"/>
        <item m="1" x="118"/>
        <item m="1" x="313"/>
        <item m="1" x="521"/>
        <item m="1" x="715"/>
        <item m="1" x="130"/>
        <item m="1" x="325"/>
        <item m="1" x="533"/>
        <item m="1" x="728"/>
        <item m="1" x="142"/>
        <item m="1" x="338"/>
        <item m="1" x="545"/>
        <item m="1" x="741"/>
        <item m="1" x="154"/>
        <item m="1" x="351"/>
        <item m="1" x="557"/>
        <item m="1" x="754"/>
        <item m="1" x="166"/>
        <item m="1" x="364"/>
        <item m="1" x="569"/>
        <item m="1" x="767"/>
        <item m="1" x="178"/>
        <item m="1" x="377"/>
        <item m="1" x="581"/>
        <item m="1" x="780"/>
        <item m="1" x="190"/>
        <item m="1" x="390"/>
        <item m="1" x="593"/>
        <item m="1" x="793"/>
        <item m="1" x="202"/>
        <item m="1" x="403"/>
        <item m="1" x="605"/>
        <item m="1" x="12"/>
        <item m="1" x="214"/>
        <item m="1" x="416"/>
        <item m="1" x="617"/>
        <item m="1" x="25"/>
        <item m="1" x="226"/>
        <item m="1" x="429"/>
        <item m="1" x="629"/>
        <item m="1" x="38"/>
        <item m="1" x="238"/>
        <item m="1" x="442"/>
        <item m="1" x="641"/>
        <item m="1" x="51"/>
        <item m="1" x="250"/>
        <item m="1" x="454"/>
        <item m="1" x="652"/>
        <item m="1" x="63"/>
        <item m="1" x="261"/>
        <item m="1" x="466"/>
        <item m="1" x="663"/>
        <item m="1" x="75"/>
        <item m="1" x="272"/>
        <item m="1" x="478"/>
        <item m="1" x="674"/>
        <item m="1" x="87"/>
        <item m="1" x="283"/>
        <item m="1" x="490"/>
        <item m="1" x="685"/>
        <item m="1" x="99"/>
        <item m="1" x="295"/>
        <item m="1" x="502"/>
        <item m="1" x="697"/>
        <item m="1" x="111"/>
        <item m="1" x="307"/>
        <item m="1" x="514"/>
        <item m="1" x="709"/>
        <item m="1" x="123"/>
        <item m="1" x="319"/>
        <item m="1" x="526"/>
        <item m="1" x="721"/>
        <item m="1" x="135"/>
        <item m="1" x="331"/>
        <item m="1" x="538"/>
        <item m="1" x="734"/>
        <item m="1" x="147"/>
        <item m="1" x="344"/>
        <item m="1" x="550"/>
        <item m="1" x="747"/>
        <item m="1" x="159"/>
        <item m="1" x="357"/>
        <item m="1" x="562"/>
        <item m="1" x="760"/>
        <item m="1" x="171"/>
        <item m="1" x="370"/>
        <item m="1" x="574"/>
        <item m="1" x="773"/>
        <item m="1" x="183"/>
        <item m="1" x="383"/>
        <item m="1" x="586"/>
        <item m="1" x="786"/>
        <item m="1" x="195"/>
        <item m="1" x="396"/>
        <item m="1" x="598"/>
        <item m="1" x="5"/>
        <item m="1" x="207"/>
        <item m="1" x="409"/>
        <item m="1" x="610"/>
        <item m="1" x="18"/>
        <item m="1" x="219"/>
        <item m="1" x="422"/>
        <item m="1" x="622"/>
        <item m="1" x="31"/>
        <item m="1" x="231"/>
        <item m="1" x="435"/>
        <item m="1" x="634"/>
        <item m="1" x="44"/>
        <item m="1" x="243"/>
        <item m="1" x="448"/>
        <item m="1" x="646"/>
        <item m="1" x="57"/>
        <item m="1" x="255"/>
        <item m="1" x="460"/>
        <item m="1" x="657"/>
        <item m="1" x="69"/>
        <item m="1" x="266"/>
        <item m="1" x="472"/>
        <item m="1" x="668"/>
        <item m="1" x="81"/>
        <item m="1" x="277"/>
        <item m="1" x="484"/>
        <item m="1" x="679"/>
        <item m="1" x="93"/>
        <item m="1" x="288"/>
        <item m="1" x="496"/>
        <item m="1" x="690"/>
        <item m="1" x="105"/>
        <item m="1" x="300"/>
        <item m="1" x="508"/>
        <item m="1" x="702"/>
        <item m="1" x="117"/>
        <item m="1" x="312"/>
        <item m="1" x="520"/>
        <item m="1" x="714"/>
        <item m="1" x="129"/>
        <item m="1" x="324"/>
        <item m="1" x="532"/>
        <item m="1" x="727"/>
        <item m="1" x="141"/>
        <item m="1" x="337"/>
        <item m="1" x="544"/>
        <item m="1" x="740"/>
        <item m="1" x="153"/>
        <item m="1" x="350"/>
        <item m="1" x="556"/>
        <item m="1" x="753"/>
        <item m="1" x="165"/>
        <item m="1" x="363"/>
        <item m="1" x="568"/>
        <item m="1" x="766"/>
        <item m="1" x="177"/>
        <item m="1" x="376"/>
        <item m="1" x="580"/>
        <item m="1" x="779"/>
        <item m="1" x="189"/>
        <item m="1" x="389"/>
        <item m="1" x="592"/>
        <item m="1" x="792"/>
        <item m="1" x="201"/>
        <item m="1" x="402"/>
        <item m="1" x="604"/>
        <item m="1" x="11"/>
        <item m="1" x="213"/>
        <item m="1" x="415"/>
        <item m="1" x="616"/>
        <item m="1" x="24"/>
        <item m="1" x="225"/>
        <item m="1" x="428"/>
        <item m="1" x="628"/>
        <item m="1" x="37"/>
        <item m="1" x="237"/>
        <item m="1" x="441"/>
        <item m="1" x="640"/>
        <item m="1" x="50"/>
        <item m="1" x="249"/>
        <item x="0"/>
        <item t="default"/>
      </items>
    </pivotField>
    <pivotField axis="axisPage" showAll="0">
      <items count="14">
        <item x="0"/>
        <item m="1" x="3"/>
        <item m="1" x="6"/>
        <item m="1" x="11"/>
        <item m="1" x="2"/>
        <item m="1" x="4"/>
        <item m="1" x="5"/>
        <item m="1" x="7"/>
        <item m="1" x="8"/>
        <item m="1" x="9"/>
        <item m="1" x="10"/>
        <item m="1" x="12"/>
        <item x="1"/>
        <item t="default"/>
      </items>
    </pivotField>
    <pivotField axis="axisPage" showAll="0">
      <items count="8">
        <item m="1" x="3"/>
        <item m="1" x="5"/>
        <item m="1" x="6"/>
        <item m="1" x="2"/>
        <item m="1" x="4"/>
        <item x="0"/>
        <item x="1"/>
        <item t="default"/>
      </items>
    </pivotField>
    <pivotField dragToRow="0" dragToCol="0" dragToPage="0" showAll="0" defaultSubtotal="0"/>
  </pivotFields>
  <rowFields count="1">
    <field x="9"/>
  </rowFields>
  <rowItems count="3">
    <i>
      <x v="943"/>
    </i>
    <i>
      <x v="944"/>
    </i>
    <i t="grand">
      <x/>
    </i>
  </rowItems>
  <colFields count="1">
    <field x="-2"/>
  </colFields>
  <colItems count="2">
    <i>
      <x/>
    </i>
    <i i="1">
      <x v="1"/>
    </i>
  </colItems>
  <pageFields count="7">
    <pageField fld="1" hier="-1"/>
    <pageField fld="3" hier="-1"/>
    <pageField fld="4" hier="-1"/>
    <pageField fld="5" hier="-1"/>
    <pageField fld="10" hier="-1"/>
    <pageField fld="11" hier="-1"/>
    <pageField fld="12" hier="-1"/>
  </pageFields>
  <dataFields count="2">
    <dataField name="Sum of profit" fld="6" baseField="9" baseItem="0"/>
    <dataField name="Cumulative profit" fld="6" showDataAs="runTotal" baseField="9" baseItem="16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BackTestReport" growShrinkType="overwriteClear" fillFormulas="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PortfolioReport" refreshOnLoad="1" growShrinkType="overwriteClear" fillFormulas="1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radeReport" refreshOnLoad="1" growShrinkType="overwriteClear" fillFormulas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C68"/>
  <sheetViews>
    <sheetView showGridLines="0" tabSelected="1" view="pageBreakPreview" zoomScaleNormal="100" zoomScaleSheetLayoutView="100" workbookViewId="0"/>
  </sheetViews>
  <sheetFormatPr defaultColWidth="8.85546875" defaultRowHeight="12" x14ac:dyDescent="0.2"/>
  <cols>
    <col min="1" max="1" width="1.7109375" style="15" customWidth="1"/>
    <col min="2" max="29" width="3.7109375" style="15" customWidth="1"/>
    <col min="30" max="30" width="1.7109375" style="15" customWidth="1"/>
    <col min="31" max="16384" width="8.85546875" style="15"/>
  </cols>
  <sheetData>
    <row r="1" spans="2:29" ht="9" customHeight="1" x14ac:dyDescent="0.2"/>
    <row r="2" spans="2:29" ht="39" customHeight="1" x14ac:dyDescent="0.2">
      <c r="B2" s="49"/>
      <c r="C2" s="49"/>
      <c r="D2" s="50"/>
      <c r="E2" s="50"/>
      <c r="F2" s="50"/>
      <c r="G2" s="50"/>
      <c r="H2" s="51"/>
      <c r="I2" s="51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52" t="s">
        <v>58</v>
      </c>
    </row>
    <row r="4" spans="2:29" x14ac:dyDescent="0.2">
      <c r="B4" s="16" t="s">
        <v>98</v>
      </c>
      <c r="C4" s="17"/>
      <c r="D4" s="17"/>
      <c r="E4" s="17"/>
      <c r="F4" s="17"/>
      <c r="G4" s="17"/>
      <c r="H4" s="17"/>
      <c r="I4" s="17"/>
      <c r="J4" s="18"/>
      <c r="L4" s="96" t="s">
        <v>33</v>
      </c>
      <c r="M4" s="97"/>
      <c r="N4" s="97"/>
      <c r="O4" s="97"/>
      <c r="P4" s="17"/>
      <c r="Q4" s="17"/>
      <c r="R4" s="17"/>
      <c r="S4" s="17"/>
      <c r="T4" s="18"/>
      <c r="V4" s="16" t="s">
        <v>35</v>
      </c>
      <c r="W4" s="17"/>
      <c r="X4" s="17"/>
      <c r="Y4" s="17"/>
      <c r="Z4" s="17"/>
      <c r="AA4" s="17"/>
      <c r="AB4" s="17"/>
      <c r="AC4" s="18"/>
    </row>
    <row r="5" spans="2:29" x14ac:dyDescent="0.2">
      <c r="B5" s="19" t="s">
        <v>31</v>
      </c>
      <c r="C5" s="20"/>
      <c r="D5" s="21"/>
      <c r="E5" s="21"/>
      <c r="F5" s="20"/>
      <c r="G5" s="20"/>
      <c r="H5" s="81">
        <v>42373</v>
      </c>
      <c r="I5" s="81"/>
      <c r="J5" s="82"/>
      <c r="K5" s="22"/>
      <c r="L5" s="19" t="s">
        <v>104</v>
      </c>
      <c r="M5" s="20"/>
      <c r="N5" s="23"/>
      <c r="O5" s="23"/>
      <c r="P5" s="20"/>
      <c r="Q5" s="24"/>
      <c r="R5" s="20"/>
      <c r="S5" s="89">
        <f>VLOOKUP("avgM",MetricsTable,2,FALSE)</f>
        <v>0</v>
      </c>
      <c r="T5" s="90"/>
      <c r="V5" s="19" t="s">
        <v>67</v>
      </c>
      <c r="W5" s="20"/>
      <c r="X5" s="20"/>
      <c r="Y5" s="20"/>
      <c r="Z5" s="20"/>
      <c r="AA5" s="25"/>
      <c r="AB5" s="72">
        <f>VLOOKUP("posMonths",MetricsTable,2,FALSE)</f>
        <v>0</v>
      </c>
      <c r="AC5" s="73"/>
    </row>
    <row r="6" spans="2:29" x14ac:dyDescent="0.2">
      <c r="B6" s="19" t="s">
        <v>32</v>
      </c>
      <c r="C6" s="20"/>
      <c r="D6" s="26"/>
      <c r="E6" s="26"/>
      <c r="F6" s="20"/>
      <c r="G6" s="20"/>
      <c r="H6" s="83">
        <v>0.54172453703703805</v>
      </c>
      <c r="I6" s="83"/>
      <c r="J6" s="84"/>
      <c r="K6" s="27"/>
      <c r="L6" s="19" t="s">
        <v>105</v>
      </c>
      <c r="M6" s="20"/>
      <c r="N6" s="23"/>
      <c r="O6" s="23"/>
      <c r="P6" s="20"/>
      <c r="Q6" s="24"/>
      <c r="R6" s="20"/>
      <c r="S6" s="89">
        <f>VLOOKUP("stdM",MetricsTable,2,FALSE)</f>
        <v>0</v>
      </c>
      <c r="T6" s="90"/>
      <c r="V6" s="19" t="s">
        <v>68</v>
      </c>
      <c r="W6" s="20"/>
      <c r="X6" s="20"/>
      <c r="Y6" s="20"/>
      <c r="Z6" s="20"/>
      <c r="AA6" s="25"/>
      <c r="AB6" s="72">
        <f>VLOOKUP("negMonths",MetricsTable,2,FALSE)</f>
        <v>0</v>
      </c>
      <c r="AC6" s="73"/>
    </row>
    <row r="7" spans="2:29" x14ac:dyDescent="0.2">
      <c r="B7" s="19" t="s">
        <v>62</v>
      </c>
      <c r="C7" s="20"/>
      <c r="D7" s="20"/>
      <c r="E7" s="20"/>
      <c r="F7" s="20"/>
      <c r="G7" s="20"/>
      <c r="H7" s="85">
        <f>VLOOKUP("executionTime",MetricsTable,2,FALSE)</f>
        <v>0</v>
      </c>
      <c r="I7" s="85"/>
      <c r="J7" s="86"/>
      <c r="K7" s="28"/>
      <c r="L7" s="19" t="s">
        <v>106</v>
      </c>
      <c r="M7" s="20"/>
      <c r="N7" s="23"/>
      <c r="O7" s="23"/>
      <c r="P7" s="20"/>
      <c r="Q7" s="24"/>
      <c r="R7" s="20"/>
      <c r="S7" s="89">
        <f>VLOOKUP("avgY",MetricsTable,2,FALSE)</f>
        <v>0</v>
      </c>
      <c r="T7" s="90"/>
      <c r="V7" s="19" t="s">
        <v>69</v>
      </c>
      <c r="W7" s="20"/>
      <c r="X7" s="20"/>
      <c r="Y7" s="20"/>
      <c r="Z7" s="20"/>
      <c r="AA7" s="25"/>
      <c r="AB7" s="72">
        <f>VLOOKUP("posYears",MetricsTable,2,FALSE)</f>
        <v>0</v>
      </c>
      <c r="AC7" s="73"/>
    </row>
    <row r="8" spans="2:29" x14ac:dyDescent="0.2">
      <c r="B8" s="19" t="s">
        <v>63</v>
      </c>
      <c r="C8" s="20"/>
      <c r="D8" s="25"/>
      <c r="E8" s="25"/>
      <c r="F8" s="20"/>
      <c r="G8" s="20"/>
      <c r="H8" s="87">
        <f>IFERROR(LEFT(VLOOKUP("dataSet",MetricsTable,2,FALSE),FIND("-",VLOOKUP("dataSet",MetricsTable,2,FALSE),1)-1),VLOOKUP("dataSet",MetricsTable,2,FALSE))</f>
        <v>0</v>
      </c>
      <c r="I8" s="87"/>
      <c r="J8" s="88"/>
      <c r="K8" s="28"/>
      <c r="L8" s="19" t="s">
        <v>107</v>
      </c>
      <c r="M8" s="20"/>
      <c r="N8" s="23"/>
      <c r="O8" s="23"/>
      <c r="P8" s="20"/>
      <c r="Q8" s="24"/>
      <c r="R8" s="20"/>
      <c r="S8" s="89">
        <f>VLOOKUP("stdY",MetricsTable,2,FALSE)</f>
        <v>0</v>
      </c>
      <c r="T8" s="90"/>
      <c r="V8" s="19" t="s">
        <v>70</v>
      </c>
      <c r="W8" s="20"/>
      <c r="X8" s="20"/>
      <c r="Y8" s="20"/>
      <c r="Z8" s="20"/>
      <c r="AA8" s="25"/>
      <c r="AB8" s="72">
        <f>VLOOKUP("negYears",MetricsTable,2,FALSE)</f>
        <v>0</v>
      </c>
      <c r="AC8" s="73"/>
    </row>
    <row r="9" spans="2:29" x14ac:dyDescent="0.2">
      <c r="B9" s="19" t="s">
        <v>64</v>
      </c>
      <c r="C9" s="20"/>
      <c r="D9" s="29"/>
      <c r="E9" s="29"/>
      <c r="F9" s="20"/>
      <c r="G9" s="20"/>
      <c r="H9" s="72">
        <f>VLOOKUP("netLiqValue",MetricsTable,2,FALSE)</f>
        <v>0</v>
      </c>
      <c r="I9" s="72"/>
      <c r="J9" s="73"/>
      <c r="K9" s="30"/>
      <c r="L9" s="19" t="s">
        <v>65</v>
      </c>
      <c r="M9" s="20"/>
      <c r="N9" s="20"/>
      <c r="O9" s="20"/>
      <c r="P9" s="20"/>
      <c r="Q9" s="31"/>
      <c r="R9" s="20"/>
      <c r="S9" s="91">
        <f>VLOOKUP("sharpeRatio",MetricsTable,2,FALSE)</f>
        <v>0</v>
      </c>
      <c r="T9" s="92"/>
      <c r="V9" s="19"/>
      <c r="W9" s="20"/>
      <c r="X9" s="20"/>
      <c r="Y9" s="20"/>
      <c r="Z9" s="20"/>
      <c r="AA9" s="20"/>
      <c r="AB9" s="47"/>
      <c r="AC9" s="48"/>
    </row>
    <row r="10" spans="2:29" x14ac:dyDescent="0.2">
      <c r="B10" s="32"/>
      <c r="C10" s="33"/>
      <c r="D10" s="34"/>
      <c r="E10" s="34"/>
      <c r="F10" s="33"/>
      <c r="G10" s="33"/>
      <c r="H10" s="35"/>
      <c r="I10" s="36"/>
      <c r="J10" s="37"/>
      <c r="K10" s="30"/>
      <c r="L10" s="32" t="s">
        <v>66</v>
      </c>
      <c r="M10" s="33"/>
      <c r="N10" s="33"/>
      <c r="O10" s="33"/>
      <c r="P10" s="33"/>
      <c r="Q10" s="38"/>
      <c r="R10" s="33"/>
      <c r="S10" s="103">
        <f>VLOOKUP("colmarRatio",MetricsTable,2,FALSE)</f>
        <v>0</v>
      </c>
      <c r="T10" s="104"/>
      <c r="V10" s="32"/>
      <c r="W10" s="33"/>
      <c r="X10" s="33"/>
      <c r="Y10" s="33"/>
      <c r="Z10" s="33"/>
      <c r="AA10" s="33"/>
      <c r="AB10" s="36"/>
      <c r="AC10" s="37"/>
    </row>
    <row r="11" spans="2:29" x14ac:dyDescent="0.2">
      <c r="J11" s="40"/>
      <c r="K11" s="40"/>
    </row>
    <row r="12" spans="2:29" x14ac:dyDescent="0.2">
      <c r="B12" s="16" t="s">
        <v>34</v>
      </c>
      <c r="C12" s="17"/>
      <c r="D12" s="17"/>
      <c r="E12" s="17"/>
      <c r="F12" s="17"/>
      <c r="G12" s="17"/>
      <c r="H12" s="17"/>
      <c r="I12" s="17"/>
      <c r="J12" s="18"/>
      <c r="L12" s="16" t="s">
        <v>28</v>
      </c>
      <c r="M12" s="17"/>
      <c r="N12" s="17"/>
      <c r="O12" s="17"/>
      <c r="P12" s="17"/>
      <c r="Q12" s="17"/>
      <c r="R12" s="17"/>
      <c r="S12" s="93" t="s">
        <v>29</v>
      </c>
      <c r="T12" s="93"/>
      <c r="U12" s="93"/>
      <c r="V12" s="41"/>
      <c r="W12" s="93" t="s">
        <v>71</v>
      </c>
      <c r="X12" s="93"/>
      <c r="Y12" s="93"/>
      <c r="Z12" s="41"/>
      <c r="AA12" s="93" t="s">
        <v>30</v>
      </c>
      <c r="AB12" s="93"/>
      <c r="AC12" s="98"/>
    </row>
    <row r="13" spans="2:29" x14ac:dyDescent="0.2">
      <c r="B13" s="19" t="s">
        <v>99</v>
      </c>
      <c r="C13" s="20"/>
      <c r="D13" s="20"/>
      <c r="E13" s="23"/>
      <c r="F13" s="23"/>
      <c r="G13" s="20"/>
      <c r="H13" s="40"/>
      <c r="I13" s="89">
        <f>VLOOKUP("maxMonthlyDrawDown",MetricsTable,2,FALSE)</f>
        <v>0</v>
      </c>
      <c r="J13" s="90"/>
      <c r="L13" s="19" t="s">
        <v>92</v>
      </c>
      <c r="M13" s="20"/>
      <c r="N13" s="20"/>
      <c r="O13" s="20"/>
      <c r="P13" s="20"/>
      <c r="Q13" s="20"/>
      <c r="R13" s="20"/>
      <c r="S13" s="94">
        <f>VLOOKUP("winningTradesCount",MetricsTable,2,FALSE)</f>
        <v>0</v>
      </c>
      <c r="T13" s="94"/>
      <c r="U13" s="94"/>
      <c r="V13" s="56"/>
      <c r="W13" s="94">
        <f>VLOOKUP("losingTradesCount",MetricsTable,2,FALSE)</f>
        <v>0</v>
      </c>
      <c r="X13" s="94"/>
      <c r="Y13" s="94"/>
      <c r="Z13" s="56"/>
      <c r="AA13" s="94">
        <f>VLOOKUP("allTradesCount",MetricsTable,2,FALSE)</f>
        <v>0</v>
      </c>
      <c r="AB13" s="94"/>
      <c r="AC13" s="99"/>
    </row>
    <row r="14" spans="2:29" x14ac:dyDescent="0.2">
      <c r="B14" s="19" t="s">
        <v>91</v>
      </c>
      <c r="C14" s="20"/>
      <c r="D14" s="20"/>
      <c r="E14" s="23"/>
      <c r="F14" s="23"/>
      <c r="G14" s="20"/>
      <c r="H14" s="24"/>
      <c r="I14" s="89">
        <f>VLOOKUP("bestMonthlyPerformance",MetricsTable,2,FALSE)</f>
        <v>0</v>
      </c>
      <c r="J14" s="90"/>
      <c r="L14" s="19" t="s">
        <v>59</v>
      </c>
      <c r="M14" s="20"/>
      <c r="N14" s="20"/>
      <c r="O14" s="20"/>
      <c r="P14" s="20"/>
      <c r="Q14" s="20"/>
      <c r="R14" s="20"/>
      <c r="S14" s="95">
        <f>VLOOKUP("winningTradesPct",MetricsTable,2,FALSE)</f>
        <v>0</v>
      </c>
      <c r="T14" s="95"/>
      <c r="U14" s="95"/>
      <c r="V14" s="55"/>
      <c r="W14" s="95">
        <f>VLOOKUP("losingTradesPct",MetricsTable,2,FALSE)</f>
        <v>0</v>
      </c>
      <c r="X14" s="95"/>
      <c r="Y14" s="95"/>
      <c r="Z14" s="55"/>
      <c r="AA14" s="95">
        <v>1</v>
      </c>
      <c r="AB14" s="95"/>
      <c r="AC14" s="100"/>
    </row>
    <row r="15" spans="2:29" ht="15" customHeight="1" x14ac:dyDescent="0.2">
      <c r="B15" s="19" t="s">
        <v>100</v>
      </c>
      <c r="C15" s="20"/>
      <c r="D15" s="20"/>
      <c r="E15" s="23"/>
      <c r="F15" s="23"/>
      <c r="G15" s="20"/>
      <c r="H15" s="24"/>
      <c r="I15" s="89">
        <f>VLOOKUP("maxDrawDown",MetricsTable,2,FALSE)</f>
        <v>0</v>
      </c>
      <c r="J15" s="90"/>
      <c r="L15" s="19" t="s">
        <v>90</v>
      </c>
      <c r="M15" s="20"/>
      <c r="N15" s="20"/>
      <c r="O15" s="20"/>
      <c r="P15" s="20"/>
      <c r="Q15" s="20"/>
      <c r="R15" s="20"/>
      <c r="S15" s="76">
        <f>VLOOKUP("winningTradesTotalProfit",MetricsTable,2,FALSE)</f>
        <v>0</v>
      </c>
      <c r="T15" s="76"/>
      <c r="U15" s="76"/>
      <c r="V15" s="76">
        <f>VLOOKUP("losingTradesTotalProfit",MetricsTable,2,FALSE)</f>
        <v>0</v>
      </c>
      <c r="W15" s="76"/>
      <c r="X15" s="76"/>
      <c r="Y15" s="76"/>
      <c r="Z15" s="54"/>
      <c r="AA15" s="76">
        <f>VLOOKUP("allTradesTotalProfit",MetricsTable,2,FALSE)</f>
        <v>0</v>
      </c>
      <c r="AB15" s="76"/>
      <c r="AC15" s="101"/>
    </row>
    <row r="16" spans="2:29" x14ac:dyDescent="0.2">
      <c r="B16" s="19" t="s">
        <v>101</v>
      </c>
      <c r="C16" s="20"/>
      <c r="D16" s="20"/>
      <c r="E16" s="20"/>
      <c r="F16" s="20"/>
      <c r="G16" s="20"/>
      <c r="H16" s="25"/>
      <c r="I16" s="78">
        <f>VLOOKUP("maxDrawDownPeriod",MetricsTable,2,FALSE)</f>
        <v>0</v>
      </c>
      <c r="J16" s="79"/>
      <c r="L16" s="19" t="s">
        <v>102</v>
      </c>
      <c r="M16" s="20"/>
      <c r="N16" s="20"/>
      <c r="O16" s="20"/>
      <c r="P16" s="20"/>
      <c r="Q16" s="20"/>
      <c r="R16" s="20"/>
      <c r="S16" s="76">
        <f>VLOOKUP("winningTradesAvgProfit",MetricsTable,2,FALSE)</f>
        <v>0</v>
      </c>
      <c r="T16" s="76"/>
      <c r="U16" s="76"/>
      <c r="V16" s="54"/>
      <c r="W16" s="76">
        <f>VLOOKUP("losingTradesAvgProfit",MetricsTable,2,FALSE)</f>
        <v>0</v>
      </c>
      <c r="X16" s="76"/>
      <c r="Y16" s="76"/>
      <c r="Z16" s="54"/>
      <c r="AA16" s="76">
        <f>VLOOKUP("allTradesAvgProfit",MetricsTable,2,FALSE)</f>
        <v>0</v>
      </c>
      <c r="AB16" s="76"/>
      <c r="AC16" s="101"/>
    </row>
    <row r="17" spans="2:29" x14ac:dyDescent="0.2">
      <c r="B17" s="42"/>
      <c r="C17" s="33"/>
      <c r="D17" s="35"/>
      <c r="E17" s="35"/>
      <c r="F17" s="35"/>
      <c r="G17" s="33"/>
      <c r="H17" s="33"/>
      <c r="I17" s="35"/>
      <c r="J17" s="39"/>
      <c r="L17" s="32" t="s">
        <v>103</v>
      </c>
      <c r="M17" s="33"/>
      <c r="N17" s="33"/>
      <c r="O17" s="33"/>
      <c r="P17" s="33"/>
      <c r="Q17" s="33"/>
      <c r="R17" s="33"/>
      <c r="S17" s="77">
        <f>VLOOKUP("winningTradesAvgProfitPct",MetricsTable,2,FALSE)</f>
        <v>0</v>
      </c>
      <c r="T17" s="77"/>
      <c r="U17" s="77"/>
      <c r="V17" s="53"/>
      <c r="W17" s="77">
        <f>VLOOKUP("losingTradesAvgProfitPct",MetricsTable,2,FALSE)</f>
        <v>0</v>
      </c>
      <c r="X17" s="77"/>
      <c r="Y17" s="77"/>
      <c r="Z17" s="53"/>
      <c r="AA17" s="77">
        <f>VLOOKUP("allTradesAvgProfitPct",MetricsTable,2,FALSE)</f>
        <v>0</v>
      </c>
      <c r="AB17" s="77"/>
      <c r="AC17" s="102"/>
    </row>
    <row r="18" spans="2:29" x14ac:dyDescent="0.2">
      <c r="J18" s="40"/>
      <c r="K18" s="40"/>
      <c r="V18" s="20"/>
      <c r="W18" s="20"/>
      <c r="X18" s="20"/>
      <c r="Y18" s="20"/>
      <c r="Z18" s="20"/>
      <c r="AA18" s="20"/>
      <c r="AB18" s="20"/>
      <c r="AC18" s="20"/>
    </row>
    <row r="19" spans="2:29" x14ac:dyDescent="0.2">
      <c r="B19" s="80" t="s">
        <v>59</v>
      </c>
      <c r="C19" s="74"/>
      <c r="D19" s="74" t="s">
        <v>73</v>
      </c>
      <c r="E19" s="74"/>
      <c r="F19" s="74" t="s">
        <v>74</v>
      </c>
      <c r="G19" s="74"/>
      <c r="H19" s="74" t="s">
        <v>75</v>
      </c>
      <c r="I19" s="74"/>
      <c r="J19" s="74" t="s">
        <v>76</v>
      </c>
      <c r="K19" s="74"/>
      <c r="L19" s="74" t="s">
        <v>77</v>
      </c>
      <c r="M19" s="74"/>
      <c r="N19" s="74" t="s">
        <v>78</v>
      </c>
      <c r="O19" s="74"/>
      <c r="P19" s="74" t="s">
        <v>79</v>
      </c>
      <c r="Q19" s="74"/>
      <c r="R19" s="74" t="s">
        <v>80</v>
      </c>
      <c r="S19" s="74"/>
      <c r="T19" s="74" t="s">
        <v>81</v>
      </c>
      <c r="U19" s="74"/>
      <c r="V19" s="74" t="s">
        <v>82</v>
      </c>
      <c r="W19" s="74"/>
      <c r="X19" s="74" t="s">
        <v>83</v>
      </c>
      <c r="Y19" s="74"/>
      <c r="Z19" s="74" t="s">
        <v>60</v>
      </c>
      <c r="AA19" s="74"/>
      <c r="AB19" s="74" t="s">
        <v>61</v>
      </c>
      <c r="AC19" s="75"/>
    </row>
    <row r="20" spans="2:29" x14ac:dyDescent="0.2">
      <c r="B20" s="70">
        <v>2011</v>
      </c>
      <c r="C20" s="71"/>
      <c r="D20" s="63" t="s">
        <v>84</v>
      </c>
      <c r="E20" s="63"/>
      <c r="F20" s="63" t="s">
        <v>84</v>
      </c>
      <c r="G20" s="63"/>
      <c r="H20" s="63" t="s">
        <v>84</v>
      </c>
      <c r="I20" s="63"/>
      <c r="J20" s="63" t="s">
        <v>84</v>
      </c>
      <c r="K20" s="63"/>
      <c r="L20" s="63" t="s">
        <v>84</v>
      </c>
      <c r="M20" s="63"/>
      <c r="N20" s="63" t="s">
        <v>84</v>
      </c>
      <c r="O20" s="63"/>
      <c r="P20" s="63" t="s">
        <v>84</v>
      </c>
      <c r="Q20" s="63"/>
      <c r="R20" s="63" t="s">
        <v>84</v>
      </c>
      <c r="S20" s="63"/>
      <c r="T20" s="63" t="s">
        <v>84</v>
      </c>
      <c r="U20" s="63"/>
      <c r="V20" s="63" t="s">
        <v>84</v>
      </c>
      <c r="W20" s="63"/>
      <c r="X20" s="63" t="s">
        <v>84</v>
      </c>
      <c r="Y20" s="63"/>
      <c r="Z20" s="63">
        <v>0.29163599999999501</v>
      </c>
      <c r="AA20" s="63"/>
      <c r="AB20" s="64">
        <v>0.29163599999999512</v>
      </c>
      <c r="AC20" s="65"/>
    </row>
    <row r="21" spans="2:29" x14ac:dyDescent="0.2">
      <c r="B21" s="70">
        <v>2012</v>
      </c>
      <c r="C21" s="71"/>
      <c r="D21" s="63">
        <v>2.0210917688091099</v>
      </c>
      <c r="E21" s="63"/>
      <c r="F21" s="63">
        <v>1.36120138521802</v>
      </c>
      <c r="G21" s="63"/>
      <c r="H21" s="69">
        <v>-9.8990578994728698E-2</v>
      </c>
      <c r="I21" s="69"/>
      <c r="J21" s="63">
        <v>1.4505892940285399</v>
      </c>
      <c r="K21" s="63"/>
      <c r="L21" s="69">
        <v>-1.0256949902331101</v>
      </c>
      <c r="M21" s="69"/>
      <c r="N21" s="63">
        <v>1.2654977435544601</v>
      </c>
      <c r="O21" s="63"/>
      <c r="P21" s="63">
        <v>1.6988217777616301</v>
      </c>
      <c r="Q21" s="63"/>
      <c r="R21" s="63">
        <v>0.35425216089663902</v>
      </c>
      <c r="S21" s="63"/>
      <c r="T21" s="69">
        <v>-0.31263169434400095</v>
      </c>
      <c r="U21" s="69"/>
      <c r="V21" s="63">
        <v>1.96058450005351</v>
      </c>
      <c r="W21" s="63"/>
      <c r="X21" s="63">
        <v>1.2514580450083599</v>
      </c>
      <c r="Y21" s="63"/>
      <c r="Z21" s="63">
        <v>0.78416520331725503</v>
      </c>
      <c r="AA21" s="63"/>
      <c r="AB21" s="64">
        <v>11.195667403411335</v>
      </c>
      <c r="AC21" s="65"/>
    </row>
    <row r="22" spans="2:29" x14ac:dyDescent="0.2">
      <c r="B22" s="66">
        <v>2013</v>
      </c>
      <c r="C22" s="67"/>
      <c r="D22" s="68">
        <v>-3.0714234333362102E-2</v>
      </c>
      <c r="E22" s="68"/>
      <c r="F22" s="60"/>
      <c r="G22" s="60"/>
      <c r="H22" s="68"/>
      <c r="I22" s="68"/>
      <c r="J22" s="60"/>
      <c r="K22" s="60"/>
      <c r="L22" s="68"/>
      <c r="M22" s="68"/>
      <c r="N22" s="60"/>
      <c r="O22" s="60"/>
      <c r="P22" s="60"/>
      <c r="Q22" s="60"/>
      <c r="R22" s="60"/>
      <c r="S22" s="60"/>
      <c r="T22" s="68"/>
      <c r="U22" s="68"/>
      <c r="V22" s="60"/>
      <c r="W22" s="60"/>
      <c r="X22" s="60"/>
      <c r="Y22" s="60"/>
      <c r="Z22" s="60"/>
      <c r="AA22" s="60"/>
      <c r="AB22" s="61">
        <v>-3.0714234333362178E-2</v>
      </c>
      <c r="AC22" s="62"/>
    </row>
    <row r="23" spans="2:29" x14ac:dyDescent="0.2">
      <c r="B23" s="43"/>
      <c r="C23" s="43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</row>
    <row r="68" spans="2:29" x14ac:dyDescent="0.2">
      <c r="B68" s="45" t="s">
        <v>36</v>
      </c>
      <c r="AC68" s="46" t="s">
        <v>37</v>
      </c>
    </row>
  </sheetData>
  <mergeCells count="94">
    <mergeCell ref="Z22:AA22"/>
    <mergeCell ref="AB22:AC22"/>
    <mergeCell ref="V21:W21"/>
    <mergeCell ref="X21:Y21"/>
    <mergeCell ref="Z21:AA21"/>
    <mergeCell ref="AB21:AC21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2:Y22"/>
    <mergeCell ref="L21:M21"/>
    <mergeCell ref="N21:O21"/>
    <mergeCell ref="P21:Q21"/>
    <mergeCell ref="R21:S21"/>
    <mergeCell ref="T21:U21"/>
    <mergeCell ref="B21:C21"/>
    <mergeCell ref="D21:E21"/>
    <mergeCell ref="F21:G21"/>
    <mergeCell ref="H21:I21"/>
    <mergeCell ref="J21:K21"/>
    <mergeCell ref="L4:O4"/>
    <mergeCell ref="S16:U16"/>
    <mergeCell ref="S17:U17"/>
    <mergeCell ref="AA12:AC12"/>
    <mergeCell ref="AA13:AC13"/>
    <mergeCell ref="AA14:AC14"/>
    <mergeCell ref="AA15:AC15"/>
    <mergeCell ref="AA16:AC16"/>
    <mergeCell ref="AA17:AC17"/>
    <mergeCell ref="W12:Y12"/>
    <mergeCell ref="W13:Y13"/>
    <mergeCell ref="W14:Y14"/>
    <mergeCell ref="S10:T10"/>
    <mergeCell ref="S5:T5"/>
    <mergeCell ref="S6:T6"/>
    <mergeCell ref="S7:T7"/>
    <mergeCell ref="S8:T8"/>
    <mergeCell ref="S9:T9"/>
    <mergeCell ref="L19:M19"/>
    <mergeCell ref="N19:O19"/>
    <mergeCell ref="P19:Q19"/>
    <mergeCell ref="R19:S19"/>
    <mergeCell ref="T19:U19"/>
    <mergeCell ref="S12:U12"/>
    <mergeCell ref="S13:U13"/>
    <mergeCell ref="S14:U14"/>
    <mergeCell ref="S15:U15"/>
    <mergeCell ref="I16:J16"/>
    <mergeCell ref="B19:C19"/>
    <mergeCell ref="H5:J5"/>
    <mergeCell ref="H6:J6"/>
    <mergeCell ref="H7:J7"/>
    <mergeCell ref="H8:J8"/>
    <mergeCell ref="H9:J9"/>
    <mergeCell ref="F19:G19"/>
    <mergeCell ref="D19:E19"/>
    <mergeCell ref="H19:I19"/>
    <mergeCell ref="J19:K19"/>
    <mergeCell ref="I13:J13"/>
    <mergeCell ref="I14:J14"/>
    <mergeCell ref="I15:J15"/>
    <mergeCell ref="AB5:AC5"/>
    <mergeCell ref="AB6:AC6"/>
    <mergeCell ref="AB7:AC7"/>
    <mergeCell ref="AB8:AC8"/>
    <mergeCell ref="V19:W19"/>
    <mergeCell ref="X19:Y19"/>
    <mergeCell ref="Z19:AA19"/>
    <mergeCell ref="AB19:AC19"/>
    <mergeCell ref="W16:Y16"/>
    <mergeCell ref="W17:Y17"/>
    <mergeCell ref="V15:Y15"/>
    <mergeCell ref="V20:W20"/>
    <mergeCell ref="X20:Y20"/>
    <mergeCell ref="Z20:AA20"/>
    <mergeCell ref="AB20:AC20"/>
    <mergeCell ref="B20:C20"/>
    <mergeCell ref="D20:E20"/>
    <mergeCell ref="F20:G20"/>
    <mergeCell ref="H20:I20"/>
    <mergeCell ref="J20:K20"/>
    <mergeCell ref="L20:M20"/>
    <mergeCell ref="N20:O20"/>
    <mergeCell ref="P20:Q20"/>
    <mergeCell ref="R20:S20"/>
    <mergeCell ref="T20:U20"/>
  </mergeCells>
  <pageMargins left="0.25" right="0.25" top="0.32583333333333331" bottom="0.24916666666666668" header="0.3" footer="0.3"/>
  <pageSetup scale="92" orientation="portrait" horizontalDpi="4294967294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nm.Auto_Open">
                <anchor moveWithCells="1" sizeWithCells="1">
                  <from>
                    <xdr:col>13</xdr:col>
                    <xdr:colOff>76200</xdr:colOff>
                    <xdr:row>1</xdr:row>
                    <xdr:rowOff>123825</xdr:rowOff>
                  </from>
                  <to>
                    <xdr:col>16</xdr:col>
                    <xdr:colOff>133350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4"/>
  <sheetViews>
    <sheetView workbookViewId="0"/>
  </sheetViews>
  <sheetFormatPr defaultRowHeight="15" x14ac:dyDescent="0.25"/>
  <cols>
    <col min="1" max="1" width="25.5703125" customWidth="1"/>
    <col min="2" max="2" width="30.42578125" customWidth="1"/>
    <col min="12" max="12" width="14.5703125" style="12" customWidth="1"/>
    <col min="13" max="13" width="8.85546875" style="10"/>
  </cols>
  <sheetData>
    <row r="1" spans="1:13" s="7" customFormat="1" x14ac:dyDescent="0.25">
      <c r="A1" s="7" t="s">
        <v>38</v>
      </c>
      <c r="B1" s="7" t="s">
        <v>39</v>
      </c>
      <c r="L1" s="58"/>
      <c r="M1" s="59"/>
    </row>
    <row r="2" spans="1:13" x14ac:dyDescent="0.25">
      <c r="A2" t="s">
        <v>52</v>
      </c>
      <c r="B2" s="1"/>
    </row>
    <row r="3" spans="1:13" x14ac:dyDescent="0.25">
      <c r="A3" t="s">
        <v>40</v>
      </c>
    </row>
    <row r="4" spans="1:13" x14ac:dyDescent="0.25">
      <c r="A4" t="s">
        <v>14</v>
      </c>
    </row>
    <row r="5" spans="1:13" x14ac:dyDescent="0.25">
      <c r="A5" t="s">
        <v>13</v>
      </c>
      <c r="B5" s="8"/>
    </row>
    <row r="6" spans="1:13" x14ac:dyDescent="0.25">
      <c r="A6" t="s">
        <v>15</v>
      </c>
    </row>
    <row r="7" spans="1:13" x14ac:dyDescent="0.25">
      <c r="A7" t="s">
        <v>16</v>
      </c>
    </row>
    <row r="8" spans="1:13" x14ac:dyDescent="0.25">
      <c r="A8" t="s">
        <v>17</v>
      </c>
    </row>
    <row r="9" spans="1:13" x14ac:dyDescent="0.25">
      <c r="A9" t="s">
        <v>18</v>
      </c>
    </row>
    <row r="10" spans="1:13" x14ac:dyDescent="0.25">
      <c r="A10" t="s">
        <v>19</v>
      </c>
    </row>
    <row r="11" spans="1:13" x14ac:dyDescent="0.25">
      <c r="A11" t="s">
        <v>20</v>
      </c>
    </row>
    <row r="12" spans="1:13" x14ac:dyDescent="0.25">
      <c r="A12" t="s">
        <v>21</v>
      </c>
    </row>
    <row r="13" spans="1:13" x14ac:dyDescent="0.25">
      <c r="A13" t="s">
        <v>22</v>
      </c>
    </row>
    <row r="14" spans="1:13" x14ac:dyDescent="0.25">
      <c r="A14" t="s">
        <v>23</v>
      </c>
    </row>
    <row r="15" spans="1:13" x14ac:dyDescent="0.25">
      <c r="A15" t="s">
        <v>25</v>
      </c>
    </row>
    <row r="16" spans="1:13" x14ac:dyDescent="0.25">
      <c r="A16" t="s">
        <v>26</v>
      </c>
      <c r="L16" s="13"/>
    </row>
    <row r="17" spans="1:12" x14ac:dyDescent="0.25">
      <c r="A17" t="s">
        <v>27</v>
      </c>
      <c r="L17" s="13"/>
    </row>
    <row r="18" spans="1:12" x14ac:dyDescent="0.25">
      <c r="A18" t="s">
        <v>41</v>
      </c>
      <c r="L18" s="13"/>
    </row>
    <row r="19" spans="1:12" x14ac:dyDescent="0.25">
      <c r="A19" t="s">
        <v>24</v>
      </c>
      <c r="L19" s="13"/>
    </row>
    <row r="20" spans="1:12" x14ac:dyDescent="0.25">
      <c r="A20" t="s">
        <v>42</v>
      </c>
      <c r="L20" s="13"/>
    </row>
    <row r="21" spans="1:12" x14ac:dyDescent="0.25">
      <c r="A21" t="s">
        <v>43</v>
      </c>
      <c r="L21" s="13"/>
    </row>
    <row r="22" spans="1:12" x14ac:dyDescent="0.25">
      <c r="A22" t="s">
        <v>44</v>
      </c>
      <c r="L22" s="13"/>
    </row>
    <row r="23" spans="1:12" x14ac:dyDescent="0.25">
      <c r="A23" t="s">
        <v>45</v>
      </c>
      <c r="L23" s="13"/>
    </row>
    <row r="24" spans="1:12" x14ac:dyDescent="0.25">
      <c r="A24" t="s">
        <v>46</v>
      </c>
      <c r="L24" s="13"/>
    </row>
    <row r="25" spans="1:12" x14ac:dyDescent="0.25">
      <c r="A25" t="s">
        <v>93</v>
      </c>
      <c r="L25" s="13"/>
    </row>
    <row r="26" spans="1:12" x14ac:dyDescent="0.25">
      <c r="A26" t="s">
        <v>94</v>
      </c>
      <c r="L26" s="13"/>
    </row>
    <row r="27" spans="1:12" x14ac:dyDescent="0.25">
      <c r="A27" t="s">
        <v>95</v>
      </c>
      <c r="L27" s="13"/>
    </row>
    <row r="28" spans="1:12" x14ac:dyDescent="0.25">
      <c r="A28" t="s">
        <v>96</v>
      </c>
      <c r="L28" s="13"/>
    </row>
    <row r="29" spans="1:12" x14ac:dyDescent="0.25">
      <c r="A29" t="s">
        <v>97</v>
      </c>
      <c r="L29" s="13"/>
    </row>
    <row r="30" spans="1:12" x14ac:dyDescent="0.25">
      <c r="A30" t="s">
        <v>47</v>
      </c>
    </row>
    <row r="31" spans="1:12" x14ac:dyDescent="0.25">
      <c r="A31" t="s">
        <v>48</v>
      </c>
    </row>
    <row r="32" spans="1:12" x14ac:dyDescent="0.25">
      <c r="A32" t="s">
        <v>49</v>
      </c>
    </row>
    <row r="33" spans="1:2" x14ac:dyDescent="0.25">
      <c r="A33" t="s">
        <v>50</v>
      </c>
      <c r="B33" s="57"/>
    </row>
    <row r="34" spans="1:2" x14ac:dyDescent="0.25">
      <c r="A34" s="9" t="s">
        <v>51</v>
      </c>
    </row>
    <row r="35" spans="1:2" x14ac:dyDescent="0.25">
      <c r="A35" s="9"/>
    </row>
    <row r="36" spans="1:2" x14ac:dyDescent="0.25">
      <c r="A36" s="9"/>
    </row>
    <row r="37" spans="1:2" x14ac:dyDescent="0.25">
      <c r="A37" s="9"/>
    </row>
    <row r="38" spans="1:2" x14ac:dyDescent="0.25">
      <c r="A38" s="9"/>
      <c r="B38" s="57"/>
    </row>
    <row r="39" spans="1:2" x14ac:dyDescent="0.25">
      <c r="A39" s="9"/>
    </row>
    <row r="40" spans="1:2" x14ac:dyDescent="0.25">
      <c r="A40" s="9"/>
    </row>
    <row r="41" spans="1:2" x14ac:dyDescent="0.25">
      <c r="A41" s="9"/>
    </row>
    <row r="42" spans="1:2" x14ac:dyDescent="0.25">
      <c r="A42" s="9"/>
    </row>
    <row r="43" spans="1:2" x14ac:dyDescent="0.25">
      <c r="A43" s="9"/>
    </row>
    <row r="44" spans="1:2" x14ac:dyDescent="0.25">
      <c r="A44" s="9"/>
    </row>
    <row r="45" spans="1:2" x14ac:dyDescent="0.25">
      <c r="A45" s="9"/>
    </row>
    <row r="46" spans="1:2" x14ac:dyDescent="0.25">
      <c r="A46" s="9"/>
    </row>
    <row r="47" spans="1:2" x14ac:dyDescent="0.25">
      <c r="A47" s="9"/>
    </row>
    <row r="48" spans="1:2" x14ac:dyDescent="0.25">
      <c r="A48" s="14"/>
      <c r="B48" s="57"/>
    </row>
    <row r="49" spans="1:2" x14ac:dyDescent="0.25">
      <c r="A49" s="14"/>
      <c r="B49" s="11"/>
    </row>
    <row r="50" spans="1:2" x14ac:dyDescent="0.25">
      <c r="A50" s="14"/>
      <c r="B50" s="11"/>
    </row>
    <row r="51" spans="1:2" x14ac:dyDescent="0.25">
      <c r="A51" s="14"/>
      <c r="B51" s="11"/>
    </row>
    <row r="52" spans="1:2" x14ac:dyDescent="0.25">
      <c r="A52" s="14"/>
      <c r="B52" s="11"/>
    </row>
    <row r="53" spans="1:2" x14ac:dyDescent="0.25">
      <c r="A53" s="14"/>
      <c r="B53" s="11"/>
    </row>
    <row r="54" spans="1:2" x14ac:dyDescent="0.25">
      <c r="A54" s="14"/>
      <c r="B54" s="11"/>
    </row>
    <row r="55" spans="1:2" x14ac:dyDescent="0.25">
      <c r="A55" s="14"/>
      <c r="B55" s="11"/>
    </row>
    <row r="56" spans="1:2" x14ac:dyDescent="0.25">
      <c r="A56" s="14"/>
      <c r="B56" s="11"/>
    </row>
    <row r="57" spans="1:2" x14ac:dyDescent="0.25">
      <c r="A57" s="14"/>
      <c r="B57" s="11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2" spans="1:2" x14ac:dyDescent="0.25">
      <c r="A62" s="14"/>
      <c r="B62" s="11"/>
    </row>
    <row r="63" spans="1:2" x14ac:dyDescent="0.25">
      <c r="A63" s="14"/>
      <c r="B63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  <c r="B66" s="11"/>
    </row>
    <row r="67" spans="1:2" x14ac:dyDescent="0.25">
      <c r="A67" s="14"/>
      <c r="B67" s="11"/>
    </row>
    <row r="68" spans="1:2" x14ac:dyDescent="0.25">
      <c r="A68" s="14"/>
      <c r="B68" s="11"/>
    </row>
    <row r="69" spans="1:2" x14ac:dyDescent="0.25">
      <c r="A69" s="14"/>
      <c r="B69" s="11"/>
    </row>
    <row r="70" spans="1:2" x14ac:dyDescent="0.25">
      <c r="A70" s="14"/>
      <c r="B70" s="11"/>
    </row>
    <row r="71" spans="1:2" x14ac:dyDescent="0.25">
      <c r="A71" s="14"/>
      <c r="B71" s="11"/>
    </row>
    <row r="72" spans="1:2" x14ac:dyDescent="0.25">
      <c r="A72" s="14"/>
      <c r="B72" s="11"/>
    </row>
    <row r="73" spans="1:2" x14ac:dyDescent="0.25">
      <c r="A73" s="14"/>
      <c r="B73" s="11"/>
    </row>
    <row r="74" spans="1:2" x14ac:dyDescent="0.25">
      <c r="A74" s="14"/>
      <c r="B74" s="11"/>
    </row>
    <row r="75" spans="1:2" x14ac:dyDescent="0.25">
      <c r="A75" s="14"/>
      <c r="B75" s="11"/>
    </row>
    <row r="76" spans="1:2" x14ac:dyDescent="0.25">
      <c r="A76" s="14"/>
      <c r="B76" s="11"/>
    </row>
    <row r="77" spans="1:2" x14ac:dyDescent="0.25">
      <c r="A77" s="14"/>
      <c r="B77" s="11"/>
    </row>
    <row r="78" spans="1:2" x14ac:dyDescent="0.25">
      <c r="A78" s="14"/>
      <c r="B78" s="11"/>
    </row>
    <row r="79" spans="1:2" x14ac:dyDescent="0.25">
      <c r="A79" s="14"/>
      <c r="B79" s="11"/>
    </row>
    <row r="80" spans="1:2" x14ac:dyDescent="0.25">
      <c r="A80" s="14"/>
      <c r="B80" s="11"/>
    </row>
    <row r="81" spans="1:2" x14ac:dyDescent="0.25">
      <c r="A81" s="14"/>
      <c r="B81" s="11"/>
    </row>
    <row r="82" spans="1:2" x14ac:dyDescent="0.25">
      <c r="A82" s="14"/>
      <c r="B82" s="11"/>
    </row>
    <row r="83" spans="1:2" x14ac:dyDescent="0.25">
      <c r="A83" s="14"/>
      <c r="B83" s="11"/>
    </row>
    <row r="84" spans="1:2" x14ac:dyDescent="0.25">
      <c r="B84" s="11"/>
    </row>
    <row r="85" spans="1:2" x14ac:dyDescent="0.25">
      <c r="B85" s="11"/>
    </row>
    <row r="86" spans="1:2" x14ac:dyDescent="0.25">
      <c r="B86" s="11"/>
    </row>
    <row r="87" spans="1:2" x14ac:dyDescent="0.25">
      <c r="B87" s="11"/>
    </row>
    <row r="88" spans="1:2" x14ac:dyDescent="0.25">
      <c r="B88" s="11"/>
    </row>
    <row r="89" spans="1:2" x14ac:dyDescent="0.25">
      <c r="B89" s="11"/>
    </row>
    <row r="90" spans="1:2" x14ac:dyDescent="0.25">
      <c r="B90" s="11"/>
    </row>
    <row r="91" spans="1:2" x14ac:dyDescent="0.25">
      <c r="B91" s="11"/>
    </row>
    <row r="92" spans="1:2" x14ac:dyDescent="0.25">
      <c r="B92" s="11"/>
    </row>
    <row r="93" spans="1:2" x14ac:dyDescent="0.25">
      <c r="B93" s="11"/>
    </row>
    <row r="94" spans="1:2" x14ac:dyDescent="0.25">
      <c r="B94" s="11"/>
    </row>
    <row r="95" spans="1:2" x14ac:dyDescent="0.25">
      <c r="B95" s="11"/>
    </row>
    <row r="96" spans="1:2" x14ac:dyDescent="0.25">
      <c r="B96" s="11"/>
    </row>
    <row r="97" spans="2:2" x14ac:dyDescent="0.25">
      <c r="B97" s="11"/>
    </row>
    <row r="98" spans="2:2" x14ac:dyDescent="0.25">
      <c r="B98" s="11"/>
    </row>
    <row r="99" spans="2:2" x14ac:dyDescent="0.25">
      <c r="B99" s="11"/>
    </row>
    <row r="100" spans="2:2" x14ac:dyDescent="0.25">
      <c r="B100" s="11"/>
    </row>
    <row r="101" spans="2:2" x14ac:dyDescent="0.25">
      <c r="B101" s="11"/>
    </row>
    <row r="102" spans="2:2" x14ac:dyDescent="0.25">
      <c r="B102" s="11"/>
    </row>
    <row r="103" spans="2:2" x14ac:dyDescent="0.25">
      <c r="B103" s="11"/>
    </row>
    <row r="104" spans="2:2" x14ac:dyDescent="0.25">
      <c r="B104" s="11"/>
    </row>
    <row r="105" spans="2:2" x14ac:dyDescent="0.25">
      <c r="B105" s="11"/>
    </row>
    <row r="106" spans="2:2" x14ac:dyDescent="0.25">
      <c r="B106" s="11"/>
    </row>
    <row r="107" spans="2:2" x14ac:dyDescent="0.25">
      <c r="B107" s="11"/>
    </row>
    <row r="108" spans="2:2" x14ac:dyDescent="0.25">
      <c r="B108" s="11"/>
    </row>
    <row r="109" spans="2:2" x14ac:dyDescent="0.25">
      <c r="B109" s="11"/>
    </row>
    <row r="110" spans="2:2" x14ac:dyDescent="0.25">
      <c r="B110" s="11"/>
    </row>
    <row r="111" spans="2:2" x14ac:dyDescent="0.25">
      <c r="B111" s="11"/>
    </row>
    <row r="112" spans="2:2" x14ac:dyDescent="0.25">
      <c r="B112" s="11"/>
    </row>
    <row r="113" spans="2:2" x14ac:dyDescent="0.25">
      <c r="B113" s="11"/>
    </row>
    <row r="114" spans="2:2" x14ac:dyDescent="0.25">
      <c r="B114" s="11"/>
    </row>
    <row r="115" spans="2:2" x14ac:dyDescent="0.25">
      <c r="B115" s="11"/>
    </row>
    <row r="116" spans="2:2" x14ac:dyDescent="0.25">
      <c r="B116" s="11"/>
    </row>
    <row r="117" spans="2:2" x14ac:dyDescent="0.25">
      <c r="B117" s="11"/>
    </row>
    <row r="118" spans="2:2" x14ac:dyDescent="0.25">
      <c r="B118" s="11"/>
    </row>
    <row r="119" spans="2:2" x14ac:dyDescent="0.25">
      <c r="B119" s="11"/>
    </row>
    <row r="120" spans="2:2" x14ac:dyDescent="0.25">
      <c r="B120" s="11"/>
    </row>
    <row r="121" spans="2:2" x14ac:dyDescent="0.25">
      <c r="B121" s="11"/>
    </row>
    <row r="122" spans="2:2" x14ac:dyDescent="0.25">
      <c r="B122" s="11"/>
    </row>
    <row r="123" spans="2:2" x14ac:dyDescent="0.25">
      <c r="B123" s="11"/>
    </row>
    <row r="124" spans="2:2" x14ac:dyDescent="0.25">
      <c r="B124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30" spans="2:2" x14ac:dyDescent="0.25">
      <c r="B130" s="11"/>
    </row>
    <row r="131" spans="2:2" x14ac:dyDescent="0.25">
      <c r="B131" s="11"/>
    </row>
    <row r="132" spans="2:2" x14ac:dyDescent="0.25">
      <c r="B132" s="11"/>
    </row>
    <row r="133" spans="2:2" x14ac:dyDescent="0.25">
      <c r="B133" s="11"/>
    </row>
    <row r="134" spans="2:2" x14ac:dyDescent="0.25">
      <c r="B134" s="11"/>
    </row>
    <row r="135" spans="2:2" x14ac:dyDescent="0.25">
      <c r="B135" s="11"/>
    </row>
    <row r="136" spans="2:2" x14ac:dyDescent="0.25">
      <c r="B136" s="11"/>
    </row>
    <row r="137" spans="2:2" x14ac:dyDescent="0.25">
      <c r="B137" s="11"/>
    </row>
    <row r="138" spans="2:2" x14ac:dyDescent="0.25">
      <c r="B138" s="11"/>
    </row>
    <row r="139" spans="2:2" x14ac:dyDescent="0.25">
      <c r="B139" s="11"/>
    </row>
    <row r="140" spans="2:2" x14ac:dyDescent="0.25">
      <c r="B140" s="11"/>
    </row>
    <row r="141" spans="2:2" x14ac:dyDescent="0.25">
      <c r="B141" s="11"/>
    </row>
    <row r="142" spans="2:2" x14ac:dyDescent="0.25">
      <c r="B142" s="11"/>
    </row>
    <row r="143" spans="2:2" x14ac:dyDescent="0.25">
      <c r="B143" s="11"/>
    </row>
    <row r="144" spans="2:2" x14ac:dyDescent="0.25">
      <c r="B144" s="11"/>
    </row>
    <row r="145" spans="2:2" x14ac:dyDescent="0.25">
      <c r="B145" s="11"/>
    </row>
    <row r="146" spans="2:2" x14ac:dyDescent="0.25">
      <c r="B146" s="11"/>
    </row>
    <row r="147" spans="2:2" x14ac:dyDescent="0.25">
      <c r="B147" s="11"/>
    </row>
    <row r="148" spans="2:2" x14ac:dyDescent="0.25">
      <c r="B148" s="11"/>
    </row>
    <row r="149" spans="2:2" x14ac:dyDescent="0.25">
      <c r="B149" s="11"/>
    </row>
    <row r="150" spans="2:2" x14ac:dyDescent="0.25">
      <c r="B150" s="11"/>
    </row>
    <row r="151" spans="2:2" x14ac:dyDescent="0.25">
      <c r="B151" s="11"/>
    </row>
    <row r="152" spans="2:2" x14ac:dyDescent="0.25">
      <c r="B152" s="11"/>
    </row>
    <row r="153" spans="2:2" x14ac:dyDescent="0.25">
      <c r="B153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88"/>
  <sheetViews>
    <sheetView workbookViewId="0"/>
  </sheetViews>
  <sheetFormatPr defaultRowHeight="15" x14ac:dyDescent="0.25"/>
  <cols>
    <col min="1" max="1" width="15.28515625" customWidth="1"/>
    <col min="2" max="2" width="11.7109375" customWidth="1"/>
    <col min="3" max="3" width="12.42578125" customWidth="1"/>
    <col min="4" max="4" width="10.140625" customWidth="1"/>
    <col min="5" max="5" width="12.42578125" customWidth="1"/>
    <col min="6" max="6" width="11.7109375" customWidth="1"/>
    <col min="7" max="7" width="13.85546875" customWidth="1"/>
    <col min="8" max="8" width="8.7109375" customWidth="1"/>
    <col min="9" max="9" width="8.140625" customWidth="1"/>
  </cols>
  <sheetData>
    <row r="1" spans="1:8" s="7" customFormat="1" x14ac:dyDescent="0.25">
      <c r="A1" s="7" t="s">
        <v>52</v>
      </c>
      <c r="B1" s="7" t="s">
        <v>13</v>
      </c>
      <c r="C1" s="7" t="s">
        <v>85</v>
      </c>
      <c r="D1" s="7" t="s">
        <v>86</v>
      </c>
      <c r="E1" s="7" t="s">
        <v>87</v>
      </c>
      <c r="F1" s="7" t="s">
        <v>57</v>
      </c>
      <c r="G1" s="7" t="s">
        <v>88</v>
      </c>
      <c r="H1" s="7" t="s">
        <v>89</v>
      </c>
    </row>
    <row r="2" spans="1:8" x14ac:dyDescent="0.25">
      <c r="A2" s="1"/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94"/>
  <sheetViews>
    <sheetView workbookViewId="0"/>
  </sheetViews>
  <sheetFormatPr defaultRowHeight="15" x14ac:dyDescent="0.25"/>
  <cols>
    <col min="1" max="1" width="15.28515625" bestFit="1" customWidth="1"/>
    <col min="2" max="2" width="6.85546875" bestFit="1" customWidth="1"/>
    <col min="3" max="3" width="8.7109375" bestFit="1" customWidth="1"/>
    <col min="4" max="5" width="8.5703125" bestFit="1" customWidth="1"/>
    <col min="6" max="6" width="8.140625" bestFit="1" customWidth="1"/>
    <col min="7" max="7" width="9.7109375" bestFit="1" customWidth="1"/>
    <col min="8" max="8" width="8.7109375" bestFit="1" customWidth="1"/>
    <col min="9" max="9" width="8.140625" bestFit="1" customWidth="1"/>
    <col min="10" max="10" width="15.28515625" bestFit="1" customWidth="1"/>
    <col min="11" max="11" width="5" bestFit="1" customWidth="1"/>
    <col min="12" max="12" width="6.85546875" bestFit="1" customWidth="1"/>
    <col min="13" max="13" width="9" bestFit="1" customWidth="1"/>
  </cols>
  <sheetData>
    <row r="1" spans="1:13" s="7" customFormat="1" x14ac:dyDescent="0.25">
      <c r="A1" s="7" t="s">
        <v>52</v>
      </c>
      <c r="B1" s="7" t="s">
        <v>0</v>
      </c>
      <c r="C1" s="7" t="s">
        <v>53</v>
      </c>
      <c r="D1" s="7" t="s">
        <v>1</v>
      </c>
      <c r="E1" s="7" t="s">
        <v>2</v>
      </c>
      <c r="F1" s="7" t="s">
        <v>3</v>
      </c>
      <c r="G1" s="7" t="s">
        <v>54</v>
      </c>
      <c r="H1" s="7" t="s">
        <v>55</v>
      </c>
      <c r="I1" s="7" t="s">
        <v>56</v>
      </c>
      <c r="J1" s="7" t="s">
        <v>4</v>
      </c>
      <c r="K1" s="7" t="s">
        <v>11</v>
      </c>
      <c r="L1" s="7" t="s">
        <v>9</v>
      </c>
      <c r="M1" s="7" t="s">
        <v>10</v>
      </c>
    </row>
    <row r="2" spans="1:13" x14ac:dyDescent="0.25">
      <c r="A2" s="1"/>
      <c r="J2" s="1">
        <f>ROUND(A2,0)</f>
        <v>0</v>
      </c>
      <c r="K2" s="6">
        <f>YEAR(A2)</f>
        <v>1900</v>
      </c>
      <c r="L2" s="5">
        <f>MONTH(A2)</f>
        <v>1</v>
      </c>
      <c r="M2" s="5">
        <f>WEEKDAY(A2)</f>
        <v>7</v>
      </c>
    </row>
    <row r="3" spans="1:13" x14ac:dyDescent="0.25">
      <c r="A3" s="1"/>
      <c r="J3" s="1"/>
      <c r="K3" s="6"/>
      <c r="L3" s="5"/>
      <c r="M3" s="5"/>
    </row>
    <row r="4" spans="1:13" x14ac:dyDescent="0.25">
      <c r="A4" s="1"/>
      <c r="J4" s="1"/>
      <c r="K4" s="6"/>
      <c r="L4" s="5"/>
      <c r="M4" s="5"/>
    </row>
    <row r="5" spans="1:13" x14ac:dyDescent="0.25">
      <c r="A5" s="1"/>
      <c r="J5" s="1"/>
      <c r="K5" s="6"/>
      <c r="L5" s="5"/>
      <c r="M5" s="5"/>
    </row>
    <row r="6" spans="1:13" x14ac:dyDescent="0.25">
      <c r="A6" s="1"/>
      <c r="J6" s="1"/>
      <c r="K6" s="6"/>
      <c r="L6" s="5"/>
      <c r="M6" s="5"/>
    </row>
    <row r="7" spans="1:13" x14ac:dyDescent="0.25">
      <c r="A7" s="1"/>
      <c r="J7" s="1"/>
      <c r="K7" s="6"/>
      <c r="L7" s="5"/>
      <c r="M7" s="5"/>
    </row>
    <row r="8" spans="1:13" x14ac:dyDescent="0.25">
      <c r="A8" s="1"/>
      <c r="J8" s="1"/>
      <c r="K8" s="6"/>
      <c r="L8" s="5"/>
      <c r="M8" s="5"/>
    </row>
    <row r="9" spans="1:13" x14ac:dyDescent="0.25">
      <c r="A9" s="1"/>
      <c r="J9" s="1"/>
      <c r="K9" s="6"/>
      <c r="L9" s="5"/>
      <c r="M9" s="5"/>
    </row>
    <row r="10" spans="1:13" x14ac:dyDescent="0.25">
      <c r="A10" s="1"/>
      <c r="J10" s="1"/>
      <c r="K10" s="6"/>
      <c r="L10" s="5"/>
      <c r="M10" s="5"/>
    </row>
    <row r="11" spans="1:13" x14ac:dyDescent="0.25">
      <c r="A11" s="1"/>
      <c r="J11" s="1"/>
      <c r="K11" s="6"/>
      <c r="L11" s="5"/>
      <c r="M11" s="5"/>
    </row>
    <row r="12" spans="1:13" x14ac:dyDescent="0.25">
      <c r="A12" s="1"/>
      <c r="J12" s="1"/>
      <c r="K12" s="6"/>
      <c r="L12" s="5"/>
      <c r="M12" s="5"/>
    </row>
    <row r="13" spans="1:13" x14ac:dyDescent="0.25">
      <c r="A13" s="1"/>
      <c r="J13" s="1"/>
      <c r="K13" s="6"/>
      <c r="L13" s="5"/>
      <c r="M13" s="5"/>
    </row>
    <row r="14" spans="1:13" x14ac:dyDescent="0.25">
      <c r="A14" s="1"/>
      <c r="J14" s="1"/>
      <c r="K14" s="6"/>
      <c r="L14" s="5"/>
      <c r="M14" s="5"/>
    </row>
    <row r="15" spans="1:13" x14ac:dyDescent="0.25">
      <c r="A15" s="1"/>
      <c r="J15" s="1"/>
      <c r="K15" s="6"/>
      <c r="L15" s="5"/>
      <c r="M15" s="5"/>
    </row>
    <row r="16" spans="1:13" x14ac:dyDescent="0.25">
      <c r="A16" s="1"/>
      <c r="J16" s="1"/>
      <c r="K16" s="6"/>
      <c r="L16" s="5"/>
      <c r="M16" s="5"/>
    </row>
    <row r="17" spans="1:13" x14ac:dyDescent="0.25">
      <c r="A17" s="1"/>
      <c r="J17" s="1"/>
      <c r="K17" s="6"/>
      <c r="L17" s="5"/>
      <c r="M17" s="5"/>
    </row>
    <row r="18" spans="1:13" x14ac:dyDescent="0.25">
      <c r="A18" s="1"/>
      <c r="J18" s="1"/>
      <c r="K18" s="6"/>
      <c r="L18" s="5"/>
      <c r="M18" s="5"/>
    </row>
    <row r="19" spans="1:13" x14ac:dyDescent="0.25">
      <c r="A19" s="1"/>
      <c r="J19" s="1"/>
      <c r="K19" s="6"/>
      <c r="L19" s="5"/>
      <c r="M19" s="5"/>
    </row>
    <row r="20" spans="1:13" x14ac:dyDescent="0.25">
      <c r="A20" s="1"/>
      <c r="J20" s="1"/>
      <c r="K20" s="6"/>
      <c r="L20" s="5"/>
      <c r="M20" s="5"/>
    </row>
    <row r="21" spans="1:13" x14ac:dyDescent="0.25">
      <c r="A21" s="1"/>
      <c r="J21" s="1"/>
      <c r="K21" s="6"/>
      <c r="L21" s="5"/>
      <c r="M21" s="5"/>
    </row>
    <row r="22" spans="1:13" x14ac:dyDescent="0.25">
      <c r="A22" s="1"/>
      <c r="J22" s="1"/>
      <c r="K22" s="6"/>
      <c r="L22" s="5"/>
      <c r="M22" s="5"/>
    </row>
    <row r="23" spans="1:13" x14ac:dyDescent="0.25">
      <c r="A23" s="1"/>
      <c r="J23" s="1"/>
      <c r="K23" s="6"/>
      <c r="L23" s="5"/>
      <c r="M23" s="5"/>
    </row>
    <row r="24" spans="1:13" x14ac:dyDescent="0.25">
      <c r="A24" s="1"/>
      <c r="J24" s="1"/>
      <c r="K24" s="6"/>
      <c r="L24" s="5"/>
      <c r="M24" s="5"/>
    </row>
    <row r="25" spans="1:13" x14ac:dyDescent="0.25">
      <c r="A25" s="1"/>
      <c r="J25" s="1"/>
      <c r="K25" s="6"/>
      <c r="L25" s="5"/>
      <c r="M25" s="5"/>
    </row>
    <row r="26" spans="1:13" x14ac:dyDescent="0.25">
      <c r="A26" s="1"/>
      <c r="J26" s="1"/>
      <c r="K26" s="6"/>
      <c r="L26" s="5"/>
      <c r="M26" s="5"/>
    </row>
    <row r="27" spans="1:13" x14ac:dyDescent="0.25">
      <c r="A27" s="1"/>
      <c r="J27" s="1"/>
      <c r="K27" s="6"/>
      <c r="L27" s="5"/>
      <c r="M27" s="5"/>
    </row>
    <row r="28" spans="1:13" x14ac:dyDescent="0.25">
      <c r="A28" s="1"/>
      <c r="J28" s="1"/>
      <c r="K28" s="6"/>
      <c r="L28" s="5"/>
      <c r="M28" s="5"/>
    </row>
    <row r="29" spans="1:13" x14ac:dyDescent="0.25">
      <c r="A29" s="1"/>
      <c r="J29" s="1"/>
      <c r="K29" s="6"/>
      <c r="L29" s="5"/>
      <c r="M29" s="5"/>
    </row>
    <row r="30" spans="1:13" x14ac:dyDescent="0.25">
      <c r="A30" s="1"/>
      <c r="J30" s="1"/>
      <c r="K30" s="6"/>
      <c r="L30" s="5"/>
      <c r="M30" s="5"/>
    </row>
    <row r="31" spans="1:13" x14ac:dyDescent="0.25">
      <c r="A31" s="1"/>
      <c r="J31" s="1"/>
      <c r="K31" s="6"/>
      <c r="L31" s="5"/>
      <c r="M31" s="5"/>
    </row>
    <row r="32" spans="1:13" x14ac:dyDescent="0.25">
      <c r="A32" s="1"/>
      <c r="J32" s="1"/>
      <c r="K32" s="6"/>
      <c r="L32" s="5"/>
      <c r="M32" s="5"/>
    </row>
    <row r="33" spans="1:13" x14ac:dyDescent="0.25">
      <c r="A33" s="1"/>
      <c r="J33" s="1"/>
      <c r="K33" s="6"/>
      <c r="L33" s="5"/>
      <c r="M33" s="5"/>
    </row>
    <row r="34" spans="1:13" x14ac:dyDescent="0.25">
      <c r="A34" s="1"/>
      <c r="J34" s="1"/>
      <c r="K34" s="6"/>
      <c r="L34" s="5"/>
      <c r="M34" s="5"/>
    </row>
    <row r="35" spans="1:13" x14ac:dyDescent="0.25">
      <c r="A35" s="1"/>
      <c r="J35" s="1"/>
      <c r="K35" s="6"/>
      <c r="L35" s="5"/>
      <c r="M35" s="5"/>
    </row>
    <row r="36" spans="1:13" x14ac:dyDescent="0.25">
      <c r="A36" s="1"/>
      <c r="J36" s="1"/>
      <c r="K36" s="6"/>
      <c r="L36" s="5"/>
      <c r="M36" s="5"/>
    </row>
    <row r="37" spans="1:13" x14ac:dyDescent="0.25">
      <c r="A37" s="1"/>
      <c r="J37" s="1"/>
      <c r="K37" s="6"/>
      <c r="L37" s="5"/>
      <c r="M37" s="5"/>
    </row>
    <row r="38" spans="1:13" x14ac:dyDescent="0.25">
      <c r="A38" s="1"/>
      <c r="J38" s="1"/>
      <c r="K38" s="6"/>
      <c r="L38" s="5"/>
      <c r="M38" s="5"/>
    </row>
    <row r="39" spans="1:13" x14ac:dyDescent="0.25">
      <c r="A39" s="1"/>
      <c r="J39" s="1"/>
      <c r="K39" s="6"/>
      <c r="L39" s="5"/>
      <c r="M39" s="5"/>
    </row>
    <row r="40" spans="1:13" x14ac:dyDescent="0.25">
      <c r="A40" s="1"/>
      <c r="J40" s="1"/>
      <c r="K40" s="6"/>
      <c r="L40" s="5"/>
      <c r="M40" s="5"/>
    </row>
    <row r="41" spans="1:13" x14ac:dyDescent="0.25">
      <c r="A41" s="1"/>
      <c r="J41" s="1"/>
      <c r="K41" s="6"/>
      <c r="L41" s="5"/>
      <c r="M41" s="5"/>
    </row>
    <row r="42" spans="1:13" x14ac:dyDescent="0.25">
      <c r="A42" s="1"/>
      <c r="J42" s="1"/>
      <c r="K42" s="6"/>
      <c r="L42" s="5"/>
      <c r="M42" s="5"/>
    </row>
    <row r="43" spans="1:13" x14ac:dyDescent="0.25">
      <c r="A43" s="1"/>
      <c r="J43" s="1"/>
      <c r="K43" s="6"/>
      <c r="L43" s="5"/>
      <c r="M43" s="5"/>
    </row>
    <row r="44" spans="1:13" x14ac:dyDescent="0.25">
      <c r="A44" s="1"/>
      <c r="J44" s="1"/>
      <c r="K44" s="6"/>
      <c r="L44" s="5"/>
      <c r="M44" s="5"/>
    </row>
    <row r="45" spans="1:13" x14ac:dyDescent="0.25">
      <c r="A45" s="1"/>
      <c r="J45" s="1"/>
      <c r="K45" s="6"/>
      <c r="L45" s="5"/>
      <c r="M45" s="5"/>
    </row>
    <row r="46" spans="1:13" x14ac:dyDescent="0.25">
      <c r="A46" s="1"/>
      <c r="J46" s="1"/>
      <c r="K46" s="6"/>
      <c r="L46" s="5"/>
      <c r="M46" s="5"/>
    </row>
    <row r="47" spans="1:13" x14ac:dyDescent="0.25">
      <c r="A47" s="1"/>
      <c r="J47" s="1"/>
      <c r="K47" s="6"/>
      <c r="L47" s="5"/>
      <c r="M47" s="5"/>
    </row>
    <row r="48" spans="1:13" x14ac:dyDescent="0.25">
      <c r="A48" s="1"/>
      <c r="J48" s="1"/>
      <c r="K48" s="6"/>
      <c r="L48" s="5"/>
      <c r="M48" s="5"/>
    </row>
    <row r="49" spans="1:13" x14ac:dyDescent="0.25">
      <c r="A49" s="1"/>
      <c r="J49" s="1"/>
      <c r="K49" s="6"/>
      <c r="L49" s="5"/>
      <c r="M49" s="5"/>
    </row>
    <row r="50" spans="1:13" x14ac:dyDescent="0.25">
      <c r="A50" s="1"/>
      <c r="J50" s="1"/>
      <c r="K50" s="6"/>
      <c r="L50" s="5"/>
      <c r="M50" s="5"/>
    </row>
    <row r="51" spans="1:13" x14ac:dyDescent="0.25">
      <c r="A51" s="1"/>
      <c r="J51" s="1"/>
      <c r="K51" s="6"/>
      <c r="L51" s="5"/>
      <c r="M51" s="5"/>
    </row>
    <row r="52" spans="1:13" x14ac:dyDescent="0.25">
      <c r="A52" s="1"/>
      <c r="J52" s="1"/>
      <c r="K52" s="6"/>
      <c r="L52" s="5"/>
      <c r="M52" s="5"/>
    </row>
    <row r="53" spans="1:13" x14ac:dyDescent="0.25">
      <c r="A53" s="1"/>
      <c r="J53" s="1"/>
      <c r="K53" s="6"/>
      <c r="L53" s="5"/>
      <c r="M53" s="5"/>
    </row>
    <row r="54" spans="1:13" x14ac:dyDescent="0.25">
      <c r="A54" s="1"/>
      <c r="J54" s="1"/>
      <c r="K54" s="6"/>
      <c r="L54" s="5"/>
      <c r="M54" s="5"/>
    </row>
    <row r="55" spans="1:13" x14ac:dyDescent="0.25">
      <c r="A55" s="1"/>
      <c r="J55" s="1"/>
      <c r="K55" s="6"/>
      <c r="L55" s="5"/>
      <c r="M55" s="5"/>
    </row>
    <row r="56" spans="1:13" x14ac:dyDescent="0.25">
      <c r="A56" s="1"/>
      <c r="J56" s="1"/>
      <c r="K56" s="6"/>
      <c r="L56" s="5"/>
      <c r="M56" s="5"/>
    </row>
    <row r="57" spans="1:13" x14ac:dyDescent="0.25">
      <c r="A57" s="1"/>
      <c r="J57" s="1"/>
      <c r="K57" s="6"/>
      <c r="L57" s="5"/>
      <c r="M57" s="5"/>
    </row>
    <row r="58" spans="1:13" x14ac:dyDescent="0.25">
      <c r="A58" s="1"/>
      <c r="J58" s="1"/>
      <c r="K58" s="6"/>
      <c r="L58" s="5"/>
      <c r="M58" s="5"/>
    </row>
    <row r="59" spans="1:13" x14ac:dyDescent="0.25">
      <c r="A59" s="1"/>
      <c r="J59" s="1"/>
      <c r="K59" s="6"/>
      <c r="L59" s="5"/>
      <c r="M59" s="5"/>
    </row>
    <row r="60" spans="1:13" x14ac:dyDescent="0.25">
      <c r="A60" s="1"/>
      <c r="J60" s="1"/>
      <c r="K60" s="6"/>
      <c r="L60" s="5"/>
      <c r="M60" s="5"/>
    </row>
    <row r="61" spans="1:13" x14ac:dyDescent="0.25">
      <c r="A61" s="1"/>
      <c r="J61" s="1"/>
      <c r="K61" s="6"/>
      <c r="L61" s="5"/>
      <c r="M61" s="5"/>
    </row>
    <row r="62" spans="1:13" x14ac:dyDescent="0.25">
      <c r="A62" s="1"/>
      <c r="J62" s="1"/>
      <c r="K62" s="6"/>
      <c r="L62" s="5"/>
      <c r="M62" s="5"/>
    </row>
    <row r="63" spans="1:13" x14ac:dyDescent="0.25">
      <c r="A63" s="1"/>
      <c r="J63" s="1"/>
      <c r="K63" s="6"/>
      <c r="L63" s="5"/>
      <c r="M63" s="5"/>
    </row>
    <row r="64" spans="1:13" x14ac:dyDescent="0.25">
      <c r="A64" s="1"/>
      <c r="J64" s="1"/>
      <c r="K64" s="6"/>
      <c r="L64" s="5"/>
      <c r="M64" s="5"/>
    </row>
    <row r="65" spans="1:13" x14ac:dyDescent="0.25">
      <c r="A65" s="1"/>
      <c r="J65" s="1"/>
      <c r="K65" s="6"/>
      <c r="L65" s="5"/>
      <c r="M65" s="5"/>
    </row>
    <row r="66" spans="1:13" x14ac:dyDescent="0.25">
      <c r="A66" s="1"/>
      <c r="J66" s="1"/>
      <c r="K66" s="6"/>
      <c r="L66" s="5"/>
      <c r="M66" s="5"/>
    </row>
    <row r="67" spans="1:13" x14ac:dyDescent="0.25">
      <c r="A67" s="1"/>
      <c r="J67" s="1"/>
      <c r="K67" s="6"/>
      <c r="L67" s="5"/>
      <c r="M67" s="5"/>
    </row>
    <row r="68" spans="1:13" x14ac:dyDescent="0.25">
      <c r="A68" s="1"/>
      <c r="J68" s="1"/>
      <c r="K68" s="6"/>
      <c r="L68" s="5"/>
      <c r="M68" s="5"/>
    </row>
    <row r="69" spans="1:13" x14ac:dyDescent="0.25">
      <c r="A69" s="1"/>
      <c r="J69" s="1"/>
      <c r="K69" s="6"/>
      <c r="L69" s="5"/>
      <c r="M69" s="5"/>
    </row>
    <row r="70" spans="1:13" x14ac:dyDescent="0.25">
      <c r="A70" s="1"/>
      <c r="J70" s="1"/>
      <c r="K70" s="6"/>
      <c r="L70" s="5"/>
      <c r="M70" s="5"/>
    </row>
    <row r="71" spans="1:13" x14ac:dyDescent="0.25">
      <c r="A71" s="1"/>
      <c r="J71" s="1"/>
      <c r="K71" s="6"/>
      <c r="L71" s="5"/>
      <c r="M71" s="5"/>
    </row>
    <row r="72" spans="1:13" x14ac:dyDescent="0.25">
      <c r="A72" s="1"/>
      <c r="J72" s="1"/>
      <c r="K72" s="6"/>
      <c r="L72" s="5"/>
      <c r="M72" s="5"/>
    </row>
    <row r="73" spans="1:13" x14ac:dyDescent="0.25">
      <c r="A73" s="1"/>
      <c r="J73" s="1"/>
      <c r="K73" s="6"/>
      <c r="L73" s="5"/>
      <c r="M73" s="5"/>
    </row>
    <row r="74" spans="1:13" x14ac:dyDescent="0.25">
      <c r="A74" s="1"/>
      <c r="J74" s="1"/>
      <c r="K74" s="6"/>
      <c r="L74" s="5"/>
      <c r="M74" s="5"/>
    </row>
    <row r="75" spans="1:13" x14ac:dyDescent="0.25">
      <c r="A75" s="1"/>
      <c r="J75" s="1"/>
      <c r="K75" s="6"/>
      <c r="L75" s="5"/>
      <c r="M75" s="5"/>
    </row>
    <row r="76" spans="1:13" x14ac:dyDescent="0.25">
      <c r="A76" s="1"/>
      <c r="J76" s="1"/>
      <c r="K76" s="6"/>
      <c r="L76" s="5"/>
      <c r="M76" s="5"/>
    </row>
    <row r="77" spans="1:13" x14ac:dyDescent="0.25">
      <c r="A77" s="1"/>
      <c r="J77" s="1"/>
      <c r="K77" s="6"/>
      <c r="L77" s="5"/>
      <c r="M77" s="5"/>
    </row>
    <row r="78" spans="1:13" x14ac:dyDescent="0.25">
      <c r="A78" s="1"/>
      <c r="J78" s="1"/>
      <c r="K78" s="6"/>
      <c r="L78" s="5"/>
      <c r="M78" s="5"/>
    </row>
    <row r="79" spans="1:13" x14ac:dyDescent="0.25">
      <c r="A79" s="1"/>
      <c r="J79" s="1"/>
      <c r="K79" s="6"/>
      <c r="L79" s="5"/>
      <c r="M79" s="5"/>
    </row>
    <row r="80" spans="1:13" x14ac:dyDescent="0.25">
      <c r="A80" s="1"/>
      <c r="J80" s="1"/>
      <c r="K80" s="6"/>
      <c r="L80" s="5"/>
      <c r="M80" s="5"/>
    </row>
    <row r="81" spans="1:13" x14ac:dyDescent="0.25">
      <c r="A81" s="1"/>
      <c r="J81" s="1"/>
      <c r="K81" s="6"/>
      <c r="L81" s="5"/>
      <c r="M81" s="5"/>
    </row>
    <row r="82" spans="1:13" x14ac:dyDescent="0.25">
      <c r="A82" s="1"/>
      <c r="J82" s="1"/>
      <c r="K82" s="6"/>
      <c r="L82" s="5"/>
      <c r="M82" s="5"/>
    </row>
    <row r="83" spans="1:13" x14ac:dyDescent="0.25">
      <c r="A83" s="1"/>
      <c r="J83" s="1"/>
      <c r="K83" s="6"/>
      <c r="L83" s="5"/>
      <c r="M83" s="5"/>
    </row>
    <row r="84" spans="1:13" x14ac:dyDescent="0.25">
      <c r="A84" s="1"/>
      <c r="J84" s="1"/>
      <c r="K84" s="6"/>
      <c r="L84" s="5"/>
      <c r="M84" s="5"/>
    </row>
    <row r="85" spans="1:13" x14ac:dyDescent="0.25">
      <c r="A85" s="1"/>
      <c r="J85" s="1"/>
      <c r="K85" s="6"/>
      <c r="L85" s="5"/>
      <c r="M85" s="5"/>
    </row>
    <row r="86" spans="1:13" x14ac:dyDescent="0.25">
      <c r="A86" s="1"/>
      <c r="J86" s="1"/>
      <c r="K86" s="6"/>
      <c r="L86" s="5"/>
      <c r="M86" s="5"/>
    </row>
    <row r="87" spans="1:13" x14ac:dyDescent="0.25">
      <c r="A87" s="1"/>
      <c r="J87" s="1"/>
      <c r="K87" s="6"/>
      <c r="L87" s="5"/>
      <c r="M87" s="5"/>
    </row>
    <row r="88" spans="1:13" x14ac:dyDescent="0.25">
      <c r="A88" s="1"/>
      <c r="J88" s="1"/>
      <c r="K88" s="6"/>
      <c r="L88" s="5"/>
      <c r="M88" s="5"/>
    </row>
    <row r="89" spans="1:13" x14ac:dyDescent="0.25">
      <c r="A89" s="1"/>
      <c r="J89" s="1"/>
      <c r="K89" s="6"/>
      <c r="L89" s="5"/>
      <c r="M89" s="5"/>
    </row>
    <row r="90" spans="1:13" x14ac:dyDescent="0.25">
      <c r="A90" s="1"/>
      <c r="J90" s="1"/>
      <c r="K90" s="6"/>
      <c r="L90" s="5"/>
      <c r="M90" s="5"/>
    </row>
    <row r="91" spans="1:13" x14ac:dyDescent="0.25">
      <c r="A91" s="1"/>
      <c r="J91" s="1"/>
      <c r="K91" s="6"/>
      <c r="L91" s="5"/>
      <c r="M91" s="5"/>
    </row>
    <row r="92" spans="1:13" x14ac:dyDescent="0.25">
      <c r="A92" s="1"/>
      <c r="J92" s="1"/>
      <c r="K92" s="6"/>
      <c r="L92" s="5"/>
      <c r="M92" s="5"/>
    </row>
    <row r="93" spans="1:13" x14ac:dyDescent="0.25">
      <c r="A93" s="1"/>
      <c r="J93" s="1"/>
      <c r="K93" s="6"/>
      <c r="L93" s="5"/>
      <c r="M93" s="5"/>
    </row>
    <row r="94" spans="1:13" x14ac:dyDescent="0.25">
      <c r="A94" s="1"/>
      <c r="J94" s="1"/>
      <c r="K94" s="6"/>
      <c r="L94" s="5"/>
      <c r="M94" s="5"/>
    </row>
    <row r="95" spans="1:13" x14ac:dyDescent="0.25">
      <c r="A95" s="1"/>
      <c r="J95" s="1"/>
      <c r="K95" s="6"/>
      <c r="L95" s="5"/>
      <c r="M95" s="5"/>
    </row>
    <row r="96" spans="1:13" x14ac:dyDescent="0.25">
      <c r="A96" s="1"/>
      <c r="J96" s="1"/>
      <c r="K96" s="6"/>
      <c r="L96" s="5"/>
      <c r="M96" s="5"/>
    </row>
    <row r="97" spans="1:13" x14ac:dyDescent="0.25">
      <c r="A97" s="1"/>
      <c r="J97" s="1"/>
      <c r="K97" s="6"/>
      <c r="L97" s="5"/>
      <c r="M97" s="5"/>
    </row>
    <row r="98" spans="1:13" x14ac:dyDescent="0.25">
      <c r="A98" s="1"/>
      <c r="J98" s="1"/>
      <c r="K98" s="6"/>
      <c r="L98" s="5"/>
      <c r="M98" s="5"/>
    </row>
    <row r="99" spans="1:13" x14ac:dyDescent="0.25">
      <c r="A99" s="1"/>
      <c r="J99" s="1"/>
      <c r="K99" s="6"/>
      <c r="L99" s="5"/>
      <c r="M99" s="5"/>
    </row>
    <row r="100" spans="1:13" x14ac:dyDescent="0.25">
      <c r="A100" s="1"/>
      <c r="J100" s="1"/>
      <c r="K100" s="6"/>
      <c r="L100" s="5"/>
      <c r="M100" s="5"/>
    </row>
    <row r="101" spans="1:13" x14ac:dyDescent="0.25">
      <c r="A101" s="1"/>
      <c r="J101" s="1"/>
      <c r="K101" s="6"/>
      <c r="L101" s="5"/>
      <c r="M101" s="5"/>
    </row>
    <row r="102" spans="1:13" x14ac:dyDescent="0.25">
      <c r="A102" s="1"/>
      <c r="J102" s="1"/>
      <c r="K102" s="6"/>
      <c r="L102" s="5"/>
      <c r="M102" s="5"/>
    </row>
    <row r="103" spans="1:13" x14ac:dyDescent="0.25">
      <c r="A103" s="1"/>
      <c r="J103" s="1"/>
      <c r="K103" s="6"/>
      <c r="L103" s="5"/>
      <c r="M103" s="5"/>
    </row>
    <row r="104" spans="1:13" x14ac:dyDescent="0.25">
      <c r="A104" s="1"/>
      <c r="J104" s="1"/>
      <c r="K104" s="6"/>
      <c r="L104" s="5"/>
      <c r="M104" s="5"/>
    </row>
    <row r="105" spans="1:13" x14ac:dyDescent="0.25">
      <c r="A105" s="1"/>
      <c r="J105" s="1"/>
      <c r="K105" s="6"/>
      <c r="L105" s="5"/>
      <c r="M105" s="5"/>
    </row>
    <row r="106" spans="1:13" x14ac:dyDescent="0.25">
      <c r="A106" s="1"/>
      <c r="J106" s="1"/>
      <c r="K106" s="6"/>
      <c r="L106" s="5"/>
      <c r="M106" s="5"/>
    </row>
    <row r="107" spans="1:13" x14ac:dyDescent="0.25">
      <c r="A107" s="1"/>
      <c r="J107" s="1"/>
      <c r="K107" s="6"/>
      <c r="L107" s="5"/>
      <c r="M107" s="5"/>
    </row>
    <row r="108" spans="1:13" x14ac:dyDescent="0.25">
      <c r="A108" s="1"/>
      <c r="J108" s="1"/>
      <c r="K108" s="6"/>
      <c r="L108" s="5"/>
      <c r="M108" s="5"/>
    </row>
    <row r="109" spans="1:13" x14ac:dyDescent="0.25">
      <c r="A109" s="1"/>
      <c r="J109" s="1"/>
      <c r="K109" s="6"/>
      <c r="L109" s="5"/>
      <c r="M109" s="5"/>
    </row>
    <row r="110" spans="1:13" x14ac:dyDescent="0.25">
      <c r="A110" s="1"/>
      <c r="J110" s="1"/>
      <c r="K110" s="6"/>
      <c r="L110" s="5"/>
      <c r="M110" s="5"/>
    </row>
    <row r="111" spans="1:13" x14ac:dyDescent="0.25">
      <c r="A111" s="1"/>
      <c r="J111" s="1"/>
      <c r="K111" s="6"/>
      <c r="L111" s="5"/>
      <c r="M111" s="5"/>
    </row>
    <row r="112" spans="1:13" x14ac:dyDescent="0.25">
      <c r="A112" s="1"/>
      <c r="J112" s="1"/>
      <c r="K112" s="6"/>
      <c r="L112" s="5"/>
      <c r="M112" s="5"/>
    </row>
    <row r="113" spans="1:13" x14ac:dyDescent="0.25">
      <c r="A113" s="1"/>
      <c r="J113" s="1"/>
      <c r="K113" s="6"/>
      <c r="L113" s="5"/>
      <c r="M113" s="5"/>
    </row>
    <row r="114" spans="1:13" x14ac:dyDescent="0.25">
      <c r="A114" s="1"/>
      <c r="J114" s="1"/>
      <c r="K114" s="6"/>
      <c r="L114" s="5"/>
      <c r="M114" s="5"/>
    </row>
    <row r="115" spans="1:13" x14ac:dyDescent="0.25">
      <c r="A115" s="1"/>
      <c r="J115" s="1"/>
      <c r="K115" s="6"/>
      <c r="L115" s="5"/>
      <c r="M115" s="5"/>
    </row>
    <row r="116" spans="1:13" x14ac:dyDescent="0.25">
      <c r="A116" s="1"/>
      <c r="J116" s="1"/>
      <c r="K116" s="6"/>
      <c r="L116" s="5"/>
      <c r="M116" s="5"/>
    </row>
    <row r="117" spans="1:13" x14ac:dyDescent="0.25">
      <c r="A117" s="1"/>
      <c r="J117" s="1"/>
      <c r="K117" s="6"/>
      <c r="L117" s="5"/>
      <c r="M117" s="5"/>
    </row>
    <row r="118" spans="1:13" x14ac:dyDescent="0.25">
      <c r="A118" s="1"/>
      <c r="J118" s="1"/>
      <c r="K118" s="6"/>
      <c r="L118" s="5"/>
      <c r="M118" s="5"/>
    </row>
    <row r="119" spans="1:13" x14ac:dyDescent="0.25">
      <c r="A119" s="1"/>
      <c r="J119" s="1"/>
      <c r="K119" s="6"/>
      <c r="L119" s="5"/>
      <c r="M119" s="5"/>
    </row>
    <row r="120" spans="1:13" x14ac:dyDescent="0.25">
      <c r="A120" s="1"/>
      <c r="J120" s="1"/>
      <c r="K120" s="6"/>
      <c r="L120" s="5"/>
      <c r="M120" s="5"/>
    </row>
    <row r="121" spans="1:13" x14ac:dyDescent="0.25">
      <c r="A121" s="1"/>
      <c r="J121" s="1"/>
      <c r="K121" s="6"/>
      <c r="L121" s="5"/>
      <c r="M121" s="5"/>
    </row>
    <row r="122" spans="1:13" x14ac:dyDescent="0.25">
      <c r="A122" s="1"/>
      <c r="J122" s="1"/>
      <c r="K122" s="6"/>
      <c r="L122" s="5"/>
      <c r="M122" s="5"/>
    </row>
    <row r="123" spans="1:13" x14ac:dyDescent="0.25">
      <c r="A123" s="1"/>
      <c r="J123" s="1"/>
      <c r="K123" s="6"/>
      <c r="L123" s="5"/>
      <c r="M123" s="5"/>
    </row>
    <row r="124" spans="1:13" x14ac:dyDescent="0.25">
      <c r="A124" s="1"/>
      <c r="J124" s="1"/>
      <c r="K124" s="6"/>
      <c r="L124" s="5"/>
      <c r="M124" s="5"/>
    </row>
    <row r="125" spans="1:13" x14ac:dyDescent="0.25">
      <c r="A125" s="1"/>
      <c r="J125" s="1"/>
      <c r="K125" s="6"/>
      <c r="L125" s="5"/>
      <c r="M125" s="5"/>
    </row>
    <row r="126" spans="1:13" x14ac:dyDescent="0.25">
      <c r="A126" s="1"/>
      <c r="J126" s="1"/>
      <c r="K126" s="6"/>
      <c r="L126" s="5"/>
      <c r="M126" s="5"/>
    </row>
    <row r="127" spans="1:13" x14ac:dyDescent="0.25">
      <c r="A127" s="1"/>
      <c r="J127" s="1"/>
      <c r="K127" s="6"/>
      <c r="L127" s="5"/>
      <c r="M127" s="5"/>
    </row>
    <row r="128" spans="1:13" x14ac:dyDescent="0.25">
      <c r="A128" s="1"/>
      <c r="J128" s="1"/>
      <c r="K128" s="6"/>
      <c r="L128" s="5"/>
      <c r="M128" s="5"/>
    </row>
    <row r="129" spans="1:13" x14ac:dyDescent="0.25">
      <c r="A129" s="1"/>
      <c r="J129" s="1"/>
      <c r="K129" s="6"/>
      <c r="L129" s="5"/>
      <c r="M129" s="5"/>
    </row>
    <row r="130" spans="1:13" x14ac:dyDescent="0.25">
      <c r="A130" s="1"/>
      <c r="J130" s="1"/>
      <c r="K130" s="6"/>
      <c r="L130" s="5"/>
      <c r="M130" s="5"/>
    </row>
    <row r="131" spans="1:13" x14ac:dyDescent="0.25">
      <c r="A131" s="1"/>
      <c r="J131" s="1"/>
      <c r="K131" s="6"/>
      <c r="L131" s="5"/>
      <c r="M131" s="5"/>
    </row>
    <row r="132" spans="1:13" x14ac:dyDescent="0.25">
      <c r="A132" s="1"/>
      <c r="J132" s="1"/>
      <c r="K132" s="6"/>
      <c r="L132" s="5"/>
      <c r="M132" s="5"/>
    </row>
    <row r="133" spans="1:13" x14ac:dyDescent="0.25">
      <c r="A133" s="1"/>
      <c r="J133" s="1"/>
      <c r="K133" s="6"/>
      <c r="L133" s="5"/>
      <c r="M133" s="5"/>
    </row>
    <row r="134" spans="1:13" x14ac:dyDescent="0.25">
      <c r="A134" s="1"/>
      <c r="J134" s="1"/>
      <c r="K134" s="6"/>
      <c r="L134" s="5"/>
      <c r="M134" s="5"/>
    </row>
    <row r="135" spans="1:13" x14ac:dyDescent="0.25">
      <c r="A135" s="1"/>
      <c r="J135" s="1"/>
      <c r="K135" s="6"/>
      <c r="L135" s="5"/>
      <c r="M135" s="5"/>
    </row>
    <row r="136" spans="1:13" x14ac:dyDescent="0.25">
      <c r="A136" s="1"/>
      <c r="J136" s="1"/>
      <c r="K136" s="6"/>
      <c r="L136" s="5"/>
      <c r="M136" s="5"/>
    </row>
    <row r="137" spans="1:13" x14ac:dyDescent="0.25">
      <c r="A137" s="1"/>
      <c r="J137" s="1"/>
      <c r="K137" s="6"/>
      <c r="L137" s="5"/>
      <c r="M137" s="5"/>
    </row>
    <row r="138" spans="1:13" x14ac:dyDescent="0.25">
      <c r="A138" s="1"/>
      <c r="J138" s="1"/>
      <c r="K138" s="6"/>
      <c r="L138" s="5"/>
      <c r="M138" s="5"/>
    </row>
    <row r="139" spans="1:13" x14ac:dyDescent="0.25">
      <c r="A139" s="1"/>
      <c r="J139" s="1"/>
      <c r="K139" s="6"/>
      <c r="L139" s="5"/>
      <c r="M139" s="5"/>
    </row>
    <row r="140" spans="1:13" x14ac:dyDescent="0.25">
      <c r="A140" s="1"/>
      <c r="J140" s="1"/>
      <c r="K140" s="6"/>
      <c r="L140" s="5"/>
      <c r="M140" s="5"/>
    </row>
    <row r="141" spans="1:13" x14ac:dyDescent="0.25">
      <c r="A141" s="1"/>
      <c r="J141" s="1"/>
      <c r="K141" s="6"/>
      <c r="L141" s="5"/>
      <c r="M141" s="5"/>
    </row>
    <row r="142" spans="1:13" x14ac:dyDescent="0.25">
      <c r="A142" s="1"/>
      <c r="J142" s="1"/>
      <c r="K142" s="6"/>
      <c r="L142" s="5"/>
      <c r="M142" s="5"/>
    </row>
    <row r="143" spans="1:13" x14ac:dyDescent="0.25">
      <c r="A143" s="1"/>
      <c r="J143" s="1"/>
      <c r="K143" s="6"/>
      <c r="L143" s="5"/>
      <c r="M143" s="5"/>
    </row>
    <row r="144" spans="1:13" x14ac:dyDescent="0.25">
      <c r="A144" s="1"/>
      <c r="J144" s="1"/>
      <c r="K144" s="6"/>
      <c r="L144" s="5"/>
      <c r="M144" s="5"/>
    </row>
    <row r="145" spans="1:13" x14ac:dyDescent="0.25">
      <c r="A145" s="1"/>
      <c r="J145" s="1"/>
      <c r="K145" s="6"/>
      <c r="L145" s="5"/>
      <c r="M145" s="5"/>
    </row>
    <row r="146" spans="1:13" x14ac:dyDescent="0.25">
      <c r="A146" s="1"/>
      <c r="J146" s="1"/>
      <c r="K146" s="6"/>
      <c r="L146" s="5"/>
      <c r="M146" s="5"/>
    </row>
    <row r="147" spans="1:13" x14ac:dyDescent="0.25">
      <c r="A147" s="1"/>
      <c r="J147" s="1"/>
      <c r="K147" s="6"/>
      <c r="L147" s="5"/>
      <c r="M147" s="5"/>
    </row>
    <row r="148" spans="1:13" x14ac:dyDescent="0.25">
      <c r="A148" s="1"/>
      <c r="J148" s="1"/>
      <c r="K148" s="6"/>
      <c r="L148" s="5"/>
      <c r="M148" s="5"/>
    </row>
    <row r="149" spans="1:13" x14ac:dyDescent="0.25">
      <c r="A149" s="1"/>
      <c r="J149" s="1"/>
      <c r="K149" s="6"/>
      <c r="L149" s="5"/>
      <c r="M149" s="5"/>
    </row>
    <row r="150" spans="1:13" x14ac:dyDescent="0.25">
      <c r="A150" s="1"/>
      <c r="J150" s="1"/>
      <c r="K150" s="6"/>
      <c r="L150" s="5"/>
      <c r="M150" s="5"/>
    </row>
    <row r="151" spans="1:13" x14ac:dyDescent="0.25">
      <c r="A151" s="1"/>
      <c r="J151" s="1"/>
      <c r="K151" s="6"/>
      <c r="L151" s="5"/>
      <c r="M151" s="5"/>
    </row>
    <row r="152" spans="1:13" x14ac:dyDescent="0.25">
      <c r="A152" s="1"/>
      <c r="J152" s="1"/>
      <c r="K152" s="6"/>
      <c r="L152" s="5"/>
      <c r="M152" s="5"/>
    </row>
    <row r="153" spans="1:13" x14ac:dyDescent="0.25">
      <c r="A153" s="1"/>
      <c r="J153" s="1"/>
      <c r="K153" s="6"/>
      <c r="L153" s="5"/>
      <c r="M153" s="5"/>
    </row>
    <row r="154" spans="1:13" x14ac:dyDescent="0.25">
      <c r="A154" s="1"/>
      <c r="J154" s="1"/>
      <c r="K154" s="6"/>
      <c r="L154" s="5"/>
      <c r="M154" s="5"/>
    </row>
    <row r="155" spans="1:13" x14ac:dyDescent="0.25">
      <c r="A155" s="1"/>
      <c r="J155" s="1"/>
      <c r="K155" s="6"/>
      <c r="L155" s="5"/>
      <c r="M155" s="5"/>
    </row>
    <row r="156" spans="1:13" x14ac:dyDescent="0.25">
      <c r="A156" s="1"/>
      <c r="J156" s="1"/>
      <c r="K156" s="6"/>
      <c r="L156" s="5"/>
      <c r="M156" s="5"/>
    </row>
    <row r="157" spans="1:13" x14ac:dyDescent="0.25">
      <c r="A157" s="1"/>
      <c r="J157" s="1"/>
      <c r="K157" s="6"/>
      <c r="L157" s="5"/>
      <c r="M157" s="5"/>
    </row>
    <row r="158" spans="1:13" x14ac:dyDescent="0.25">
      <c r="A158" s="1"/>
      <c r="J158" s="1"/>
      <c r="K158" s="6"/>
      <c r="L158" s="5"/>
      <c r="M158" s="5"/>
    </row>
    <row r="159" spans="1:13" x14ac:dyDescent="0.25">
      <c r="A159" s="1"/>
      <c r="J159" s="1"/>
      <c r="K159" s="6"/>
      <c r="L159" s="5"/>
      <c r="M159" s="5"/>
    </row>
    <row r="160" spans="1:13" x14ac:dyDescent="0.25">
      <c r="A160" s="1"/>
      <c r="J160" s="1"/>
      <c r="K160" s="6"/>
      <c r="L160" s="5"/>
      <c r="M160" s="5"/>
    </row>
    <row r="161" spans="1:13" x14ac:dyDescent="0.25">
      <c r="A161" s="1"/>
      <c r="J161" s="1"/>
      <c r="K161" s="6"/>
      <c r="L161" s="5"/>
      <c r="M161" s="5"/>
    </row>
    <row r="162" spans="1:13" x14ac:dyDescent="0.25">
      <c r="A162" s="1"/>
      <c r="J162" s="1"/>
      <c r="K162" s="6"/>
      <c r="L162" s="5"/>
      <c r="M162" s="5"/>
    </row>
    <row r="163" spans="1:13" x14ac:dyDescent="0.25">
      <c r="A163" s="1"/>
      <c r="J163" s="1"/>
      <c r="K163" s="6"/>
      <c r="L163" s="5"/>
      <c r="M163" s="5"/>
    </row>
    <row r="164" spans="1:13" x14ac:dyDescent="0.25">
      <c r="A164" s="1"/>
      <c r="J164" s="1"/>
      <c r="K164" s="6"/>
      <c r="L164" s="5"/>
      <c r="M164" s="5"/>
    </row>
    <row r="165" spans="1:13" x14ac:dyDescent="0.25">
      <c r="A165" s="1"/>
      <c r="J165" s="1"/>
      <c r="K165" s="6"/>
      <c r="L165" s="5"/>
      <c r="M165" s="5"/>
    </row>
    <row r="166" spans="1:13" x14ac:dyDescent="0.25">
      <c r="A166" s="1"/>
      <c r="J166" s="1"/>
      <c r="K166" s="6"/>
      <c r="L166" s="5"/>
      <c r="M166" s="5"/>
    </row>
    <row r="167" spans="1:13" x14ac:dyDescent="0.25">
      <c r="A167" s="1"/>
      <c r="J167" s="1"/>
      <c r="K167" s="6"/>
      <c r="L167" s="5"/>
      <c r="M167" s="5"/>
    </row>
    <row r="168" spans="1:13" x14ac:dyDescent="0.25">
      <c r="A168" s="1"/>
      <c r="J168" s="1"/>
      <c r="K168" s="6"/>
      <c r="L168" s="5"/>
      <c r="M168" s="5"/>
    </row>
    <row r="169" spans="1:13" x14ac:dyDescent="0.25">
      <c r="A169" s="1"/>
      <c r="J169" s="1"/>
      <c r="K169" s="6"/>
      <c r="L169" s="5"/>
      <c r="M169" s="5"/>
    </row>
    <row r="170" spans="1:13" x14ac:dyDescent="0.25">
      <c r="A170" s="1"/>
      <c r="J170" s="1"/>
      <c r="K170" s="6"/>
      <c r="L170" s="5"/>
      <c r="M170" s="5"/>
    </row>
    <row r="171" spans="1:13" x14ac:dyDescent="0.25">
      <c r="A171" s="1"/>
      <c r="J171" s="1"/>
      <c r="K171" s="6"/>
      <c r="L171" s="5"/>
      <c r="M171" s="5"/>
    </row>
    <row r="172" spans="1:13" x14ac:dyDescent="0.25">
      <c r="A172" s="1"/>
      <c r="J172" s="1"/>
      <c r="K172" s="6"/>
      <c r="L172" s="5"/>
      <c r="M172" s="5"/>
    </row>
    <row r="173" spans="1:13" x14ac:dyDescent="0.25">
      <c r="A173" s="1"/>
      <c r="J173" s="1"/>
      <c r="K173" s="6"/>
      <c r="L173" s="5"/>
      <c r="M173" s="5"/>
    </row>
    <row r="174" spans="1:13" x14ac:dyDescent="0.25">
      <c r="A174" s="1"/>
      <c r="J174" s="1"/>
      <c r="K174" s="6"/>
      <c r="L174" s="5"/>
      <c r="M174" s="5"/>
    </row>
    <row r="175" spans="1:13" x14ac:dyDescent="0.25">
      <c r="A175" s="1"/>
      <c r="J175" s="1"/>
      <c r="K175" s="6"/>
      <c r="L175" s="5"/>
      <c r="M175" s="5"/>
    </row>
    <row r="176" spans="1:13" x14ac:dyDescent="0.25">
      <c r="A176" s="1"/>
      <c r="J176" s="1"/>
      <c r="K176" s="6"/>
      <c r="L176" s="5"/>
      <c r="M176" s="5"/>
    </row>
    <row r="177" spans="1:13" x14ac:dyDescent="0.25">
      <c r="A177" s="1"/>
      <c r="J177" s="1"/>
      <c r="K177" s="6"/>
      <c r="L177" s="5"/>
      <c r="M177" s="5"/>
    </row>
    <row r="178" spans="1:13" x14ac:dyDescent="0.25">
      <c r="A178" s="1"/>
      <c r="J178" s="1"/>
      <c r="K178" s="6"/>
      <c r="L178" s="5"/>
      <c r="M178" s="5"/>
    </row>
    <row r="179" spans="1:13" x14ac:dyDescent="0.25">
      <c r="A179" s="1"/>
      <c r="J179" s="1"/>
      <c r="K179" s="6"/>
      <c r="L179" s="5"/>
      <c r="M179" s="5"/>
    </row>
    <row r="180" spans="1:13" x14ac:dyDescent="0.25">
      <c r="A180" s="1"/>
      <c r="J180" s="1"/>
      <c r="K180" s="6"/>
      <c r="L180" s="5"/>
      <c r="M180" s="5"/>
    </row>
    <row r="181" spans="1:13" x14ac:dyDescent="0.25">
      <c r="A181" s="1"/>
      <c r="J181" s="1"/>
      <c r="K181" s="6"/>
      <c r="L181" s="5"/>
      <c r="M181" s="5"/>
    </row>
    <row r="182" spans="1:13" x14ac:dyDescent="0.25">
      <c r="A182" s="1"/>
      <c r="J182" s="1"/>
      <c r="K182" s="6"/>
      <c r="L182" s="5"/>
      <c r="M182" s="5"/>
    </row>
    <row r="183" spans="1:13" x14ac:dyDescent="0.25">
      <c r="A183" s="1"/>
      <c r="J183" s="1"/>
      <c r="K183" s="6"/>
      <c r="L183" s="5"/>
      <c r="M183" s="5"/>
    </row>
    <row r="184" spans="1:13" x14ac:dyDescent="0.25">
      <c r="A184" s="1"/>
      <c r="J184" s="1"/>
      <c r="K184" s="6"/>
      <c r="L184" s="5"/>
      <c r="M184" s="5"/>
    </row>
    <row r="185" spans="1:13" x14ac:dyDescent="0.25">
      <c r="A185" s="1"/>
      <c r="J185" s="1"/>
      <c r="K185" s="6"/>
      <c r="L185" s="5"/>
      <c r="M185" s="5"/>
    </row>
    <row r="186" spans="1:13" x14ac:dyDescent="0.25">
      <c r="A186" s="1"/>
      <c r="J186" s="1"/>
      <c r="K186" s="6"/>
      <c r="L186" s="5"/>
      <c r="M186" s="5"/>
    </row>
    <row r="187" spans="1:13" x14ac:dyDescent="0.25">
      <c r="A187" s="1"/>
      <c r="J187" s="1"/>
      <c r="K187" s="6"/>
      <c r="L187" s="5"/>
      <c r="M187" s="5"/>
    </row>
    <row r="188" spans="1:13" x14ac:dyDescent="0.25">
      <c r="A188" s="1"/>
      <c r="J188" s="1"/>
      <c r="K188" s="6"/>
      <c r="L188" s="5"/>
      <c r="M188" s="5"/>
    </row>
    <row r="189" spans="1:13" x14ac:dyDescent="0.25">
      <c r="A189" s="1"/>
      <c r="J189" s="1"/>
      <c r="K189" s="6"/>
      <c r="L189" s="5"/>
      <c r="M189" s="5"/>
    </row>
    <row r="190" spans="1:13" x14ac:dyDescent="0.25">
      <c r="A190" s="1"/>
      <c r="J190" s="1"/>
      <c r="K190" s="6"/>
      <c r="L190" s="5"/>
      <c r="M190" s="5"/>
    </row>
    <row r="191" spans="1:13" x14ac:dyDescent="0.25">
      <c r="A191" s="1"/>
      <c r="J191" s="1"/>
      <c r="K191" s="6"/>
      <c r="L191" s="5"/>
      <c r="M191" s="5"/>
    </row>
    <row r="192" spans="1:13" x14ac:dyDescent="0.25">
      <c r="A192" s="1"/>
      <c r="J192" s="1"/>
      <c r="K192" s="6"/>
      <c r="L192" s="5"/>
      <c r="M192" s="5"/>
    </row>
    <row r="193" spans="1:13" x14ac:dyDescent="0.25">
      <c r="A193" s="1"/>
      <c r="J193" s="1"/>
      <c r="K193" s="6"/>
      <c r="L193" s="5"/>
      <c r="M193" s="5"/>
    </row>
    <row r="194" spans="1:13" x14ac:dyDescent="0.25">
      <c r="A194" s="1"/>
      <c r="J194" s="1"/>
      <c r="K194" s="6"/>
      <c r="L194" s="5"/>
      <c r="M194" s="5"/>
    </row>
    <row r="195" spans="1:13" x14ac:dyDescent="0.25">
      <c r="A195" s="1"/>
      <c r="J195" s="1"/>
      <c r="K195" s="6"/>
      <c r="L195" s="5"/>
      <c r="M195" s="5"/>
    </row>
    <row r="196" spans="1:13" x14ac:dyDescent="0.25">
      <c r="A196" s="1"/>
      <c r="J196" s="1"/>
      <c r="K196" s="6"/>
      <c r="L196" s="5"/>
      <c r="M196" s="5"/>
    </row>
    <row r="197" spans="1:13" x14ac:dyDescent="0.25">
      <c r="A197" s="1"/>
      <c r="J197" s="1"/>
      <c r="K197" s="6"/>
      <c r="L197" s="5"/>
      <c r="M197" s="5"/>
    </row>
    <row r="198" spans="1:13" x14ac:dyDescent="0.25">
      <c r="A198" s="1"/>
      <c r="J198" s="1"/>
      <c r="K198" s="6"/>
      <c r="L198" s="5"/>
      <c r="M198" s="5"/>
    </row>
    <row r="199" spans="1:13" x14ac:dyDescent="0.25">
      <c r="A199" s="1"/>
      <c r="J199" s="1"/>
      <c r="K199" s="6"/>
      <c r="L199" s="5"/>
      <c r="M199" s="5"/>
    </row>
    <row r="200" spans="1:13" x14ac:dyDescent="0.25">
      <c r="A200" s="1"/>
      <c r="J200" s="1"/>
      <c r="K200" s="6"/>
      <c r="L200" s="5"/>
      <c r="M200" s="5"/>
    </row>
    <row r="201" spans="1:13" x14ac:dyDescent="0.25">
      <c r="A201" s="1"/>
      <c r="J201" s="1"/>
      <c r="K201" s="6"/>
      <c r="L201" s="5"/>
      <c r="M201" s="5"/>
    </row>
    <row r="202" spans="1:13" x14ac:dyDescent="0.25">
      <c r="A202" s="1"/>
      <c r="J202" s="1"/>
      <c r="K202" s="6"/>
      <c r="L202" s="5"/>
      <c r="M202" s="5"/>
    </row>
    <row r="203" spans="1:13" x14ac:dyDescent="0.25">
      <c r="A203" s="1"/>
      <c r="J203" s="1"/>
      <c r="K203" s="6"/>
      <c r="L203" s="5"/>
      <c r="M203" s="5"/>
    </row>
    <row r="204" spans="1:13" x14ac:dyDescent="0.25">
      <c r="A204" s="1"/>
      <c r="J204" s="1"/>
      <c r="K204" s="6"/>
      <c r="L204" s="5"/>
      <c r="M204" s="5"/>
    </row>
    <row r="205" spans="1:13" x14ac:dyDescent="0.25">
      <c r="A205" s="1"/>
      <c r="J205" s="1"/>
      <c r="K205" s="6"/>
      <c r="L205" s="5"/>
      <c r="M205" s="5"/>
    </row>
    <row r="206" spans="1:13" x14ac:dyDescent="0.25">
      <c r="A206" s="1"/>
      <c r="J206" s="1"/>
      <c r="K206" s="6"/>
      <c r="L206" s="5"/>
      <c r="M206" s="5"/>
    </row>
    <row r="207" spans="1:13" x14ac:dyDescent="0.25">
      <c r="A207" s="1"/>
      <c r="J207" s="1"/>
      <c r="K207" s="6"/>
      <c r="L207" s="5"/>
      <c r="M207" s="5"/>
    </row>
    <row r="208" spans="1:13" x14ac:dyDescent="0.25">
      <c r="A208" s="1"/>
      <c r="J208" s="1"/>
      <c r="K208" s="6"/>
      <c r="L208" s="5"/>
      <c r="M208" s="5"/>
    </row>
    <row r="209" spans="1:13" x14ac:dyDescent="0.25">
      <c r="A209" s="1"/>
      <c r="J209" s="1"/>
      <c r="K209" s="6"/>
      <c r="L209" s="5"/>
      <c r="M209" s="5"/>
    </row>
    <row r="210" spans="1:13" x14ac:dyDescent="0.25">
      <c r="A210" s="1"/>
      <c r="J210" s="1"/>
      <c r="K210" s="6"/>
      <c r="L210" s="5"/>
      <c r="M210" s="5"/>
    </row>
    <row r="211" spans="1:13" x14ac:dyDescent="0.25">
      <c r="A211" s="1"/>
      <c r="J211" s="1"/>
      <c r="K211" s="6"/>
      <c r="L211" s="5"/>
      <c r="M211" s="5"/>
    </row>
    <row r="212" spans="1:13" x14ac:dyDescent="0.25">
      <c r="A212" s="1"/>
      <c r="J212" s="1"/>
      <c r="K212" s="6"/>
      <c r="L212" s="5"/>
      <c r="M212" s="5"/>
    </row>
    <row r="213" spans="1:13" x14ac:dyDescent="0.25">
      <c r="A213" s="1"/>
      <c r="J213" s="1"/>
      <c r="K213" s="6"/>
      <c r="L213" s="5"/>
      <c r="M213" s="5"/>
    </row>
    <row r="214" spans="1:13" x14ac:dyDescent="0.25">
      <c r="A214" s="1"/>
      <c r="J214" s="1"/>
      <c r="K214" s="6"/>
      <c r="L214" s="5"/>
      <c r="M214" s="5"/>
    </row>
    <row r="215" spans="1:13" x14ac:dyDescent="0.25">
      <c r="A215" s="1"/>
      <c r="J215" s="1"/>
      <c r="K215" s="6"/>
      <c r="L215" s="5"/>
      <c r="M215" s="5"/>
    </row>
    <row r="216" spans="1:13" x14ac:dyDescent="0.25">
      <c r="A216" s="1"/>
      <c r="J216" s="1"/>
      <c r="K216" s="6"/>
      <c r="L216" s="5"/>
      <c r="M216" s="5"/>
    </row>
    <row r="217" spans="1:13" x14ac:dyDescent="0.25">
      <c r="A217" s="1"/>
      <c r="J217" s="1"/>
      <c r="K217" s="6"/>
      <c r="L217" s="5"/>
      <c r="M217" s="5"/>
    </row>
    <row r="218" spans="1:13" x14ac:dyDescent="0.25">
      <c r="A218" s="1"/>
      <c r="J218" s="1"/>
      <c r="K218" s="6"/>
      <c r="L218" s="5"/>
      <c r="M218" s="5"/>
    </row>
    <row r="219" spans="1:13" x14ac:dyDescent="0.25">
      <c r="A219" s="1"/>
      <c r="J219" s="1"/>
      <c r="K219" s="6"/>
      <c r="L219" s="5"/>
      <c r="M219" s="5"/>
    </row>
    <row r="220" spans="1:13" x14ac:dyDescent="0.25">
      <c r="A220" s="1"/>
      <c r="J220" s="1"/>
      <c r="K220" s="6"/>
      <c r="L220" s="5"/>
      <c r="M220" s="5"/>
    </row>
    <row r="221" spans="1:13" x14ac:dyDescent="0.25">
      <c r="A221" s="1"/>
      <c r="J221" s="1"/>
      <c r="K221" s="6"/>
      <c r="L221" s="5"/>
      <c r="M221" s="5"/>
    </row>
    <row r="222" spans="1:13" x14ac:dyDescent="0.25">
      <c r="A222" s="1"/>
      <c r="J222" s="1"/>
      <c r="K222" s="6"/>
      <c r="L222" s="5"/>
      <c r="M222" s="5"/>
    </row>
    <row r="223" spans="1:13" x14ac:dyDescent="0.25">
      <c r="A223" s="1"/>
      <c r="J223" s="1"/>
      <c r="K223" s="6"/>
      <c r="L223" s="5"/>
      <c r="M223" s="5"/>
    </row>
    <row r="224" spans="1:13" x14ac:dyDescent="0.25">
      <c r="A224" s="1"/>
      <c r="J224" s="1"/>
      <c r="K224" s="6"/>
      <c r="L224" s="5"/>
      <c r="M224" s="5"/>
    </row>
    <row r="225" spans="1:13" x14ac:dyDescent="0.25">
      <c r="A225" s="1"/>
      <c r="J225" s="1"/>
      <c r="K225" s="6"/>
      <c r="L225" s="5"/>
      <c r="M225" s="5"/>
    </row>
    <row r="226" spans="1:13" x14ac:dyDescent="0.25">
      <c r="A226" s="1"/>
      <c r="J226" s="1"/>
      <c r="K226" s="6"/>
      <c r="L226" s="5"/>
      <c r="M226" s="5"/>
    </row>
    <row r="227" spans="1:13" x14ac:dyDescent="0.25">
      <c r="A227" s="1"/>
      <c r="J227" s="1"/>
      <c r="K227" s="6"/>
      <c r="L227" s="5"/>
      <c r="M227" s="5"/>
    </row>
    <row r="228" spans="1:13" x14ac:dyDescent="0.25">
      <c r="A228" s="1"/>
      <c r="J228" s="1"/>
      <c r="K228" s="6"/>
      <c r="L228" s="5"/>
      <c r="M228" s="5"/>
    </row>
    <row r="229" spans="1:13" x14ac:dyDescent="0.25">
      <c r="A229" s="1"/>
      <c r="J229" s="1"/>
      <c r="K229" s="6"/>
      <c r="L229" s="5"/>
      <c r="M229" s="5"/>
    </row>
    <row r="230" spans="1:13" x14ac:dyDescent="0.25">
      <c r="A230" s="1"/>
      <c r="J230" s="1"/>
      <c r="K230" s="6"/>
      <c r="L230" s="5"/>
      <c r="M230" s="5"/>
    </row>
    <row r="231" spans="1:13" x14ac:dyDescent="0.25">
      <c r="A231" s="1"/>
      <c r="J231" s="1"/>
      <c r="K231" s="6"/>
      <c r="L231" s="5"/>
      <c r="M231" s="5"/>
    </row>
    <row r="232" spans="1:13" x14ac:dyDescent="0.25">
      <c r="A232" s="1"/>
      <c r="J232" s="1"/>
      <c r="K232" s="6"/>
      <c r="L232" s="5"/>
      <c r="M232" s="5"/>
    </row>
    <row r="233" spans="1:13" x14ac:dyDescent="0.25">
      <c r="A233" s="1"/>
      <c r="J233" s="1"/>
      <c r="K233" s="6"/>
      <c r="L233" s="5"/>
      <c r="M233" s="5"/>
    </row>
    <row r="234" spans="1:13" x14ac:dyDescent="0.25">
      <c r="A234" s="1"/>
      <c r="J234" s="1"/>
      <c r="K234" s="6"/>
      <c r="L234" s="5"/>
      <c r="M234" s="5"/>
    </row>
    <row r="235" spans="1:13" x14ac:dyDescent="0.25">
      <c r="A235" s="1"/>
      <c r="J235" s="1"/>
      <c r="K235" s="6"/>
      <c r="L235" s="5"/>
      <c r="M235" s="5"/>
    </row>
    <row r="236" spans="1:13" x14ac:dyDescent="0.25">
      <c r="A236" s="1"/>
      <c r="J236" s="1"/>
      <c r="K236" s="6"/>
      <c r="L236" s="5"/>
      <c r="M236" s="5"/>
    </row>
    <row r="237" spans="1:13" x14ac:dyDescent="0.25">
      <c r="A237" s="1"/>
      <c r="J237" s="1"/>
      <c r="K237" s="6"/>
      <c r="L237" s="5"/>
      <c r="M237" s="5"/>
    </row>
    <row r="238" spans="1:13" x14ac:dyDescent="0.25">
      <c r="A238" s="1"/>
      <c r="J238" s="1"/>
      <c r="K238" s="6"/>
      <c r="L238" s="5"/>
      <c r="M238" s="5"/>
    </row>
    <row r="239" spans="1:13" x14ac:dyDescent="0.25">
      <c r="A239" s="1"/>
      <c r="J239" s="1"/>
      <c r="K239" s="6"/>
      <c r="L239" s="5"/>
      <c r="M239" s="5"/>
    </row>
    <row r="240" spans="1:13" x14ac:dyDescent="0.25">
      <c r="A240" s="1"/>
      <c r="J240" s="1"/>
      <c r="K240" s="6"/>
      <c r="L240" s="5"/>
      <c r="M240" s="5"/>
    </row>
    <row r="241" spans="1:13" x14ac:dyDescent="0.25">
      <c r="A241" s="1"/>
      <c r="J241" s="1"/>
      <c r="K241" s="6"/>
      <c r="L241" s="5"/>
      <c r="M241" s="5"/>
    </row>
    <row r="242" spans="1:13" x14ac:dyDescent="0.25">
      <c r="A242" s="1"/>
      <c r="J242" s="1"/>
      <c r="K242" s="6"/>
      <c r="L242" s="5"/>
      <c r="M242" s="5"/>
    </row>
    <row r="243" spans="1:13" x14ac:dyDescent="0.25">
      <c r="A243" s="1"/>
      <c r="J243" s="1"/>
      <c r="K243" s="6"/>
      <c r="L243" s="5"/>
      <c r="M243" s="5"/>
    </row>
    <row r="244" spans="1:13" x14ac:dyDescent="0.25">
      <c r="A244" s="1"/>
      <c r="J244" s="1"/>
      <c r="K244" s="6"/>
      <c r="L244" s="5"/>
      <c r="M244" s="5"/>
    </row>
    <row r="245" spans="1:13" x14ac:dyDescent="0.25">
      <c r="A245" s="1"/>
      <c r="J245" s="1"/>
      <c r="K245" s="6"/>
      <c r="L245" s="5"/>
      <c r="M245" s="5"/>
    </row>
    <row r="246" spans="1:13" x14ac:dyDescent="0.25">
      <c r="A246" s="1"/>
      <c r="J246" s="1"/>
      <c r="K246" s="6"/>
      <c r="L246" s="5"/>
      <c r="M246" s="5"/>
    </row>
    <row r="247" spans="1:13" x14ac:dyDescent="0.25">
      <c r="A247" s="1"/>
      <c r="J247" s="1"/>
      <c r="K247" s="6"/>
      <c r="L247" s="5"/>
      <c r="M247" s="5"/>
    </row>
    <row r="248" spans="1:13" x14ac:dyDescent="0.25">
      <c r="A248" s="1"/>
      <c r="J248" s="1"/>
      <c r="K248" s="6"/>
      <c r="L248" s="5"/>
      <c r="M248" s="5"/>
    </row>
    <row r="249" spans="1:13" x14ac:dyDescent="0.25">
      <c r="A249" s="1"/>
      <c r="J249" s="1"/>
      <c r="K249" s="6"/>
      <c r="L249" s="5"/>
      <c r="M249" s="5"/>
    </row>
    <row r="250" spans="1:13" x14ac:dyDescent="0.25">
      <c r="A250" s="1"/>
      <c r="J250" s="1"/>
      <c r="K250" s="6"/>
      <c r="L250" s="5"/>
      <c r="M250" s="5"/>
    </row>
    <row r="251" spans="1:13" x14ac:dyDescent="0.25">
      <c r="A251" s="1"/>
      <c r="J251" s="1"/>
      <c r="K251" s="6"/>
      <c r="L251" s="5"/>
      <c r="M251" s="5"/>
    </row>
    <row r="252" spans="1:13" x14ac:dyDescent="0.25">
      <c r="A252" s="1"/>
      <c r="J252" s="1"/>
      <c r="K252" s="6"/>
      <c r="L252" s="5"/>
      <c r="M252" s="5"/>
    </row>
    <row r="253" spans="1:13" x14ac:dyDescent="0.25">
      <c r="A253" s="1"/>
      <c r="J253" s="1"/>
      <c r="K253" s="6"/>
      <c r="L253" s="5"/>
      <c r="M253" s="5"/>
    </row>
    <row r="254" spans="1:13" x14ac:dyDescent="0.25">
      <c r="A254" s="1"/>
      <c r="J254" s="1"/>
      <c r="K254" s="6"/>
      <c r="L254" s="5"/>
      <c r="M254" s="5"/>
    </row>
    <row r="255" spans="1:13" x14ac:dyDescent="0.25">
      <c r="A255" s="1"/>
      <c r="J255" s="1"/>
      <c r="K255" s="6"/>
      <c r="L255" s="5"/>
      <c r="M255" s="5"/>
    </row>
    <row r="256" spans="1:13" x14ac:dyDescent="0.25">
      <c r="A256" s="1"/>
      <c r="J256" s="1"/>
      <c r="K256" s="6"/>
      <c r="L256" s="5"/>
      <c r="M256" s="5"/>
    </row>
    <row r="257" spans="1:13" x14ac:dyDescent="0.25">
      <c r="A257" s="1"/>
      <c r="J257" s="1"/>
      <c r="K257" s="6"/>
      <c r="L257" s="5"/>
      <c r="M257" s="5"/>
    </row>
    <row r="258" spans="1:13" x14ac:dyDescent="0.25">
      <c r="A258" s="1"/>
      <c r="J258" s="1"/>
      <c r="K258" s="6"/>
      <c r="L258" s="5"/>
      <c r="M258" s="5"/>
    </row>
    <row r="259" spans="1:13" x14ac:dyDescent="0.25">
      <c r="A259" s="1"/>
      <c r="J259" s="1"/>
      <c r="K259" s="6"/>
      <c r="L259" s="5"/>
      <c r="M259" s="5"/>
    </row>
    <row r="260" spans="1:13" x14ac:dyDescent="0.25">
      <c r="A260" s="1"/>
      <c r="J260" s="1"/>
      <c r="K260" s="6"/>
      <c r="L260" s="5"/>
      <c r="M260" s="5"/>
    </row>
    <row r="261" spans="1:13" x14ac:dyDescent="0.25">
      <c r="A261" s="1"/>
      <c r="J261" s="1"/>
      <c r="K261" s="6"/>
      <c r="L261" s="5"/>
      <c r="M261" s="5"/>
    </row>
    <row r="262" spans="1:13" x14ac:dyDescent="0.25">
      <c r="A262" s="1"/>
      <c r="J262" s="1"/>
      <c r="K262" s="6"/>
      <c r="L262" s="5"/>
      <c r="M262" s="5"/>
    </row>
    <row r="263" spans="1:13" x14ac:dyDescent="0.25">
      <c r="A263" s="1"/>
      <c r="J263" s="1"/>
      <c r="K263" s="6"/>
      <c r="L263" s="5"/>
      <c r="M263" s="5"/>
    </row>
    <row r="264" spans="1:13" x14ac:dyDescent="0.25">
      <c r="A264" s="1"/>
      <c r="J264" s="1"/>
      <c r="K264" s="6"/>
      <c r="L264" s="5"/>
      <c r="M264" s="5"/>
    </row>
    <row r="265" spans="1:13" x14ac:dyDescent="0.25">
      <c r="A265" s="1"/>
      <c r="J265" s="1"/>
      <c r="K265" s="6"/>
      <c r="L265" s="5"/>
      <c r="M265" s="5"/>
    </row>
    <row r="266" spans="1:13" x14ac:dyDescent="0.25">
      <c r="A266" s="1"/>
      <c r="J266" s="1"/>
      <c r="K266" s="6"/>
      <c r="L266" s="5"/>
      <c r="M266" s="5"/>
    </row>
    <row r="267" spans="1:13" x14ac:dyDescent="0.25">
      <c r="A267" s="1"/>
      <c r="J267" s="1"/>
      <c r="K267" s="6"/>
      <c r="L267" s="5"/>
      <c r="M267" s="5"/>
    </row>
    <row r="268" spans="1:13" x14ac:dyDescent="0.25">
      <c r="A268" s="1"/>
      <c r="J268" s="1"/>
      <c r="K268" s="6"/>
      <c r="L268" s="5"/>
      <c r="M268" s="5"/>
    </row>
    <row r="269" spans="1:13" x14ac:dyDescent="0.25">
      <c r="A269" s="1"/>
      <c r="J269" s="1"/>
      <c r="K269" s="6"/>
      <c r="L269" s="5"/>
      <c r="M269" s="5"/>
    </row>
    <row r="270" spans="1:13" x14ac:dyDescent="0.25">
      <c r="A270" s="1"/>
      <c r="J270" s="1"/>
      <c r="K270" s="6"/>
      <c r="L270" s="5"/>
      <c r="M270" s="5"/>
    </row>
    <row r="271" spans="1:13" x14ac:dyDescent="0.25">
      <c r="A271" s="1"/>
      <c r="J271" s="1"/>
      <c r="K271" s="6"/>
      <c r="L271" s="5"/>
      <c r="M271" s="5"/>
    </row>
    <row r="272" spans="1:13" x14ac:dyDescent="0.25">
      <c r="A272" s="1"/>
      <c r="J272" s="1"/>
      <c r="K272" s="6"/>
      <c r="L272" s="5"/>
      <c r="M272" s="5"/>
    </row>
    <row r="273" spans="1:13" x14ac:dyDescent="0.25">
      <c r="A273" s="1"/>
      <c r="J273" s="1"/>
      <c r="K273" s="6"/>
      <c r="L273" s="5"/>
      <c r="M273" s="5"/>
    </row>
    <row r="274" spans="1:13" x14ac:dyDescent="0.25">
      <c r="A274" s="1"/>
      <c r="J274" s="1"/>
      <c r="K274" s="6"/>
      <c r="L274" s="5"/>
      <c r="M274" s="5"/>
    </row>
    <row r="275" spans="1:13" x14ac:dyDescent="0.25">
      <c r="A275" s="1"/>
      <c r="J275" s="1"/>
      <c r="K275" s="6"/>
      <c r="L275" s="5"/>
      <c r="M275" s="5"/>
    </row>
    <row r="276" spans="1:13" x14ac:dyDescent="0.25">
      <c r="A276" s="1"/>
      <c r="J276" s="1"/>
      <c r="K276" s="6"/>
      <c r="L276" s="5"/>
      <c r="M276" s="5"/>
    </row>
    <row r="277" spans="1:13" x14ac:dyDescent="0.25">
      <c r="A277" s="1"/>
      <c r="J277" s="1"/>
      <c r="K277" s="6"/>
      <c r="L277" s="5"/>
      <c r="M277" s="5"/>
    </row>
    <row r="278" spans="1:13" x14ac:dyDescent="0.25">
      <c r="A278" s="1"/>
      <c r="J278" s="1"/>
      <c r="K278" s="6"/>
      <c r="L278" s="5"/>
      <c r="M278" s="5"/>
    </row>
    <row r="279" spans="1:13" x14ac:dyDescent="0.25">
      <c r="A279" s="1"/>
      <c r="J279" s="1"/>
      <c r="K279" s="6"/>
      <c r="L279" s="5"/>
      <c r="M279" s="5"/>
    </row>
    <row r="280" spans="1:13" x14ac:dyDescent="0.25">
      <c r="A280" s="1"/>
      <c r="J280" s="1"/>
      <c r="K280" s="6"/>
      <c r="L280" s="5"/>
      <c r="M280" s="5"/>
    </row>
    <row r="281" spans="1:13" x14ac:dyDescent="0.25">
      <c r="A281" s="1"/>
      <c r="J281" s="1"/>
      <c r="K281" s="6"/>
      <c r="L281" s="5"/>
      <c r="M281" s="5"/>
    </row>
    <row r="282" spans="1:13" x14ac:dyDescent="0.25">
      <c r="A282" s="1"/>
      <c r="J282" s="1"/>
      <c r="K282" s="6"/>
      <c r="L282" s="5"/>
      <c r="M282" s="5"/>
    </row>
    <row r="283" spans="1:13" x14ac:dyDescent="0.25">
      <c r="A283" s="1"/>
      <c r="J283" s="1"/>
      <c r="K283" s="6"/>
      <c r="L283" s="5"/>
      <c r="M283" s="5"/>
    </row>
    <row r="284" spans="1:13" x14ac:dyDescent="0.25">
      <c r="A284" s="1"/>
      <c r="J284" s="1"/>
      <c r="K284" s="6"/>
      <c r="L284" s="5"/>
      <c r="M284" s="5"/>
    </row>
    <row r="285" spans="1:13" x14ac:dyDescent="0.25">
      <c r="A285" s="1"/>
      <c r="J285" s="1"/>
      <c r="K285" s="6"/>
      <c r="L285" s="5"/>
      <c r="M285" s="5"/>
    </row>
    <row r="286" spans="1:13" x14ac:dyDescent="0.25">
      <c r="A286" s="1"/>
      <c r="J286" s="1"/>
      <c r="K286" s="6"/>
      <c r="L286" s="5"/>
      <c r="M286" s="5"/>
    </row>
    <row r="287" spans="1:13" x14ac:dyDescent="0.25">
      <c r="A287" s="1"/>
      <c r="J287" s="1"/>
      <c r="K287" s="6"/>
      <c r="L287" s="5"/>
      <c r="M287" s="5"/>
    </row>
    <row r="288" spans="1:13" x14ac:dyDescent="0.25">
      <c r="A288" s="1"/>
      <c r="J288" s="1"/>
      <c r="K288" s="6"/>
      <c r="L288" s="5"/>
      <c r="M288" s="5"/>
    </row>
    <row r="289" spans="1:13" x14ac:dyDescent="0.25">
      <c r="A289" s="1"/>
      <c r="J289" s="1"/>
      <c r="K289" s="6"/>
      <c r="L289" s="5"/>
      <c r="M289" s="5"/>
    </row>
    <row r="290" spans="1:13" x14ac:dyDescent="0.25">
      <c r="A290" s="1"/>
      <c r="J290" s="1"/>
      <c r="K290" s="6"/>
      <c r="L290" s="5"/>
      <c r="M290" s="5"/>
    </row>
    <row r="291" spans="1:13" x14ac:dyDescent="0.25">
      <c r="A291" s="1"/>
      <c r="J291" s="1"/>
      <c r="K291" s="6"/>
      <c r="L291" s="5"/>
      <c r="M291" s="5"/>
    </row>
    <row r="292" spans="1:13" x14ac:dyDescent="0.25">
      <c r="A292" s="1"/>
      <c r="J292" s="1"/>
      <c r="K292" s="6"/>
      <c r="L292" s="5"/>
      <c r="M292" s="5"/>
    </row>
    <row r="293" spans="1:13" x14ac:dyDescent="0.25">
      <c r="A293" s="1"/>
      <c r="J293" s="1"/>
      <c r="K293" s="6"/>
      <c r="L293" s="5"/>
      <c r="M293" s="5"/>
    </row>
    <row r="294" spans="1:13" x14ac:dyDescent="0.25">
      <c r="A294" s="1"/>
      <c r="J294" s="1"/>
      <c r="K294" s="6"/>
      <c r="L294" s="5"/>
      <c r="M294" s="5"/>
    </row>
    <row r="295" spans="1:13" x14ac:dyDescent="0.25">
      <c r="A295" s="1"/>
      <c r="J295" s="1"/>
      <c r="K295" s="6"/>
      <c r="L295" s="5"/>
      <c r="M295" s="5"/>
    </row>
    <row r="296" spans="1:13" x14ac:dyDescent="0.25">
      <c r="A296" s="1"/>
      <c r="J296" s="1"/>
      <c r="K296" s="6"/>
      <c r="L296" s="5"/>
      <c r="M296" s="5"/>
    </row>
    <row r="297" spans="1:13" x14ac:dyDescent="0.25">
      <c r="A297" s="1"/>
      <c r="J297" s="1"/>
      <c r="K297" s="6"/>
      <c r="L297" s="5"/>
      <c r="M297" s="5"/>
    </row>
    <row r="298" spans="1:13" x14ac:dyDescent="0.25">
      <c r="A298" s="1"/>
      <c r="J298" s="1"/>
      <c r="K298" s="6"/>
      <c r="L298" s="5"/>
      <c r="M298" s="5"/>
    </row>
    <row r="299" spans="1:13" x14ac:dyDescent="0.25">
      <c r="A299" s="1"/>
      <c r="J299" s="1"/>
      <c r="K299" s="6"/>
      <c r="L299" s="5"/>
      <c r="M299" s="5"/>
    </row>
    <row r="300" spans="1:13" x14ac:dyDescent="0.25">
      <c r="A300" s="1"/>
      <c r="J300" s="1"/>
      <c r="K300" s="6"/>
      <c r="L300" s="5"/>
      <c r="M300" s="5"/>
    </row>
    <row r="301" spans="1:13" x14ac:dyDescent="0.25">
      <c r="A301" s="1"/>
      <c r="J301" s="1"/>
      <c r="K301" s="6"/>
      <c r="L301" s="5"/>
      <c r="M301" s="5"/>
    </row>
    <row r="302" spans="1:13" x14ac:dyDescent="0.25">
      <c r="A302" s="1"/>
      <c r="J302" s="1"/>
      <c r="K302" s="6"/>
      <c r="L302" s="5"/>
      <c r="M302" s="5"/>
    </row>
    <row r="303" spans="1:13" x14ac:dyDescent="0.25">
      <c r="A303" s="1"/>
      <c r="J303" s="1"/>
      <c r="K303" s="6"/>
      <c r="L303" s="5"/>
      <c r="M303" s="5"/>
    </row>
    <row r="304" spans="1:13" x14ac:dyDescent="0.25">
      <c r="A304" s="1"/>
      <c r="J304" s="1"/>
      <c r="K304" s="6"/>
      <c r="L304" s="5"/>
      <c r="M304" s="5"/>
    </row>
    <row r="305" spans="1:13" x14ac:dyDescent="0.25">
      <c r="A305" s="1"/>
      <c r="J305" s="1"/>
      <c r="K305" s="6"/>
      <c r="L305" s="5"/>
      <c r="M305" s="5"/>
    </row>
    <row r="306" spans="1:13" x14ac:dyDescent="0.25">
      <c r="A306" s="1"/>
      <c r="J306" s="1"/>
      <c r="K306" s="6"/>
      <c r="L306" s="5"/>
      <c r="M306" s="5"/>
    </row>
    <row r="307" spans="1:13" x14ac:dyDescent="0.25">
      <c r="A307" s="1"/>
      <c r="J307" s="1"/>
      <c r="K307" s="6"/>
      <c r="L307" s="5"/>
      <c r="M307" s="5"/>
    </row>
    <row r="308" spans="1:13" x14ac:dyDescent="0.25">
      <c r="A308" s="1"/>
      <c r="J308" s="1"/>
      <c r="K308" s="6"/>
      <c r="L308" s="5"/>
      <c r="M308" s="5"/>
    </row>
    <row r="309" spans="1:13" x14ac:dyDescent="0.25">
      <c r="A309" s="1"/>
      <c r="J309" s="1"/>
      <c r="K309" s="6"/>
      <c r="L309" s="5"/>
      <c r="M309" s="5"/>
    </row>
    <row r="310" spans="1:13" x14ac:dyDescent="0.25">
      <c r="A310" s="1"/>
      <c r="J310" s="1"/>
      <c r="K310" s="6"/>
      <c r="L310" s="5"/>
      <c r="M310" s="5"/>
    </row>
    <row r="311" spans="1:13" x14ac:dyDescent="0.25">
      <c r="A311" s="1"/>
      <c r="J311" s="1"/>
      <c r="K311" s="6"/>
      <c r="L311" s="5"/>
      <c r="M311" s="5"/>
    </row>
    <row r="312" spans="1:13" x14ac:dyDescent="0.25">
      <c r="A312" s="1"/>
      <c r="J312" s="1"/>
      <c r="K312" s="6"/>
      <c r="L312" s="5"/>
      <c r="M312" s="5"/>
    </row>
    <row r="313" spans="1:13" x14ac:dyDescent="0.25">
      <c r="A313" s="1"/>
      <c r="J313" s="1"/>
      <c r="K313" s="6"/>
      <c r="L313" s="5"/>
      <c r="M313" s="5"/>
    </row>
    <row r="314" spans="1:13" x14ac:dyDescent="0.25">
      <c r="A314" s="1"/>
      <c r="J314" s="1"/>
      <c r="K314" s="6"/>
      <c r="L314" s="5"/>
      <c r="M314" s="5"/>
    </row>
    <row r="315" spans="1:13" x14ac:dyDescent="0.25">
      <c r="A315" s="1"/>
      <c r="J315" s="1"/>
      <c r="K315" s="6"/>
      <c r="L315" s="5"/>
      <c r="M315" s="5"/>
    </row>
    <row r="316" spans="1:13" x14ac:dyDescent="0.25">
      <c r="A316" s="1"/>
      <c r="J316" s="1"/>
      <c r="K316" s="6"/>
      <c r="L316" s="5"/>
      <c r="M316" s="5"/>
    </row>
    <row r="317" spans="1:13" x14ac:dyDescent="0.25">
      <c r="A317" s="1"/>
      <c r="J317" s="1"/>
      <c r="K317" s="6"/>
      <c r="L317" s="5"/>
      <c r="M317" s="5"/>
    </row>
    <row r="318" spans="1:13" x14ac:dyDescent="0.25">
      <c r="A318" s="1"/>
      <c r="J318" s="1"/>
      <c r="K318" s="6"/>
      <c r="L318" s="5"/>
      <c r="M318" s="5"/>
    </row>
    <row r="319" spans="1:13" x14ac:dyDescent="0.25">
      <c r="A319" s="1"/>
      <c r="J319" s="1"/>
      <c r="K319" s="6"/>
      <c r="L319" s="5"/>
      <c r="M319" s="5"/>
    </row>
    <row r="320" spans="1:13" x14ac:dyDescent="0.25">
      <c r="A320" s="1"/>
      <c r="J320" s="1"/>
      <c r="K320" s="6"/>
      <c r="L320" s="5"/>
      <c r="M320" s="5"/>
    </row>
    <row r="321" spans="1:13" x14ac:dyDescent="0.25">
      <c r="A321" s="1"/>
      <c r="J321" s="1"/>
      <c r="K321" s="6"/>
      <c r="L321" s="5"/>
      <c r="M321" s="5"/>
    </row>
    <row r="322" spans="1:13" x14ac:dyDescent="0.25">
      <c r="A322" s="1"/>
      <c r="J322" s="1"/>
      <c r="K322" s="6"/>
      <c r="L322" s="5"/>
      <c r="M322" s="5"/>
    </row>
    <row r="323" spans="1:13" x14ac:dyDescent="0.25">
      <c r="A323" s="1"/>
      <c r="J323" s="1"/>
      <c r="K323" s="6"/>
      <c r="L323" s="5"/>
      <c r="M323" s="5"/>
    </row>
    <row r="324" spans="1:13" x14ac:dyDescent="0.25">
      <c r="A324" s="1"/>
      <c r="J324" s="1"/>
      <c r="K324" s="6"/>
      <c r="L324" s="5"/>
      <c r="M324" s="5"/>
    </row>
    <row r="325" spans="1:13" x14ac:dyDescent="0.25">
      <c r="A325" s="1"/>
      <c r="J325" s="1"/>
      <c r="K325" s="6"/>
      <c r="L325" s="5"/>
      <c r="M325" s="5"/>
    </row>
    <row r="326" spans="1:13" x14ac:dyDescent="0.25">
      <c r="A326" s="1"/>
      <c r="J326" s="1"/>
      <c r="K326" s="6"/>
      <c r="L326" s="5"/>
      <c r="M326" s="5"/>
    </row>
    <row r="327" spans="1:13" x14ac:dyDescent="0.25">
      <c r="A327" s="1"/>
      <c r="J327" s="1"/>
      <c r="K327" s="6"/>
      <c r="L327" s="5"/>
      <c r="M327" s="5"/>
    </row>
    <row r="328" spans="1:13" x14ac:dyDescent="0.25">
      <c r="A328" s="1"/>
      <c r="J328" s="1"/>
      <c r="K328" s="6"/>
      <c r="L328" s="5"/>
      <c r="M328" s="5"/>
    </row>
    <row r="329" spans="1:13" x14ac:dyDescent="0.25">
      <c r="A329" s="1"/>
      <c r="J329" s="1"/>
      <c r="K329" s="6"/>
      <c r="L329" s="5"/>
      <c r="M329" s="5"/>
    </row>
    <row r="330" spans="1:13" x14ac:dyDescent="0.25">
      <c r="A330" s="1"/>
      <c r="J330" s="1"/>
      <c r="K330" s="6"/>
      <c r="L330" s="5"/>
      <c r="M330" s="5"/>
    </row>
    <row r="331" spans="1:13" x14ac:dyDescent="0.25">
      <c r="A331" s="1"/>
      <c r="J331" s="1"/>
      <c r="K331" s="6"/>
      <c r="L331" s="5"/>
      <c r="M331" s="5"/>
    </row>
    <row r="332" spans="1:13" x14ac:dyDescent="0.25">
      <c r="A332" s="1"/>
      <c r="J332" s="1"/>
      <c r="K332" s="6"/>
      <c r="L332" s="5"/>
      <c r="M332" s="5"/>
    </row>
    <row r="333" spans="1:13" x14ac:dyDescent="0.25">
      <c r="A333" s="1"/>
      <c r="J333" s="1"/>
      <c r="K333" s="6"/>
      <c r="L333" s="5"/>
      <c r="M333" s="5"/>
    </row>
    <row r="334" spans="1:13" x14ac:dyDescent="0.25">
      <c r="A334" s="1"/>
      <c r="J334" s="1"/>
      <c r="K334" s="6"/>
      <c r="L334" s="5"/>
      <c r="M334" s="5"/>
    </row>
    <row r="335" spans="1:13" x14ac:dyDescent="0.25">
      <c r="A335" s="1"/>
      <c r="J335" s="1"/>
      <c r="K335" s="6"/>
      <c r="L335" s="5"/>
      <c r="M335" s="5"/>
    </row>
    <row r="336" spans="1:13" x14ac:dyDescent="0.25">
      <c r="A336" s="1"/>
      <c r="J336" s="1"/>
      <c r="K336" s="6"/>
      <c r="L336" s="5"/>
      <c r="M336" s="5"/>
    </row>
    <row r="337" spans="1:13" x14ac:dyDescent="0.25">
      <c r="A337" s="1"/>
      <c r="J337" s="1"/>
      <c r="K337" s="6"/>
      <c r="L337" s="5"/>
      <c r="M337" s="5"/>
    </row>
    <row r="338" spans="1:13" x14ac:dyDescent="0.25">
      <c r="A338" s="1"/>
      <c r="J338" s="1"/>
      <c r="K338" s="6"/>
      <c r="L338" s="5"/>
      <c r="M338" s="5"/>
    </row>
    <row r="339" spans="1:13" x14ac:dyDescent="0.25">
      <c r="A339" s="1"/>
      <c r="J339" s="1"/>
      <c r="K339" s="6"/>
      <c r="L339" s="5"/>
      <c r="M339" s="5"/>
    </row>
    <row r="340" spans="1:13" x14ac:dyDescent="0.25">
      <c r="A340" s="1"/>
      <c r="J340" s="1"/>
      <c r="K340" s="6"/>
      <c r="L340" s="5"/>
      <c r="M340" s="5"/>
    </row>
    <row r="341" spans="1:13" x14ac:dyDescent="0.25">
      <c r="A341" s="1"/>
      <c r="J341" s="1"/>
      <c r="K341" s="6"/>
      <c r="L341" s="5"/>
      <c r="M341" s="5"/>
    </row>
    <row r="342" spans="1:13" x14ac:dyDescent="0.25">
      <c r="A342" s="1"/>
      <c r="J342" s="1"/>
      <c r="K342" s="6"/>
      <c r="L342" s="5"/>
      <c r="M342" s="5"/>
    </row>
    <row r="343" spans="1:13" x14ac:dyDescent="0.25">
      <c r="A343" s="1"/>
      <c r="J343" s="1"/>
      <c r="K343" s="6"/>
      <c r="L343" s="5"/>
      <c r="M343" s="5"/>
    </row>
    <row r="344" spans="1:13" x14ac:dyDescent="0.25">
      <c r="A344" s="1"/>
      <c r="J344" s="1"/>
      <c r="K344" s="6"/>
      <c r="L344" s="5"/>
      <c r="M344" s="5"/>
    </row>
    <row r="345" spans="1:13" x14ac:dyDescent="0.25">
      <c r="A345" s="1"/>
      <c r="J345" s="1"/>
      <c r="K345" s="6"/>
      <c r="L345" s="5"/>
      <c r="M345" s="5"/>
    </row>
    <row r="346" spans="1:13" x14ac:dyDescent="0.25">
      <c r="A346" s="1"/>
      <c r="J346" s="1"/>
      <c r="K346" s="6"/>
      <c r="L346" s="5"/>
      <c r="M346" s="5"/>
    </row>
    <row r="347" spans="1:13" x14ac:dyDescent="0.25">
      <c r="A347" s="1"/>
      <c r="J347" s="1"/>
      <c r="K347" s="6"/>
      <c r="L347" s="5"/>
      <c r="M347" s="5"/>
    </row>
    <row r="348" spans="1:13" x14ac:dyDescent="0.25">
      <c r="A348" s="1"/>
      <c r="J348" s="1"/>
      <c r="K348" s="6"/>
      <c r="L348" s="5"/>
      <c r="M348" s="5"/>
    </row>
    <row r="349" spans="1:13" x14ac:dyDescent="0.25">
      <c r="A349" s="1"/>
      <c r="J349" s="1"/>
      <c r="K349" s="6"/>
      <c r="L349" s="5"/>
      <c r="M349" s="5"/>
    </row>
    <row r="350" spans="1:13" x14ac:dyDescent="0.25">
      <c r="A350" s="1"/>
      <c r="J350" s="1"/>
      <c r="K350" s="6"/>
      <c r="L350" s="5"/>
      <c r="M350" s="5"/>
    </row>
    <row r="351" spans="1:13" x14ac:dyDescent="0.25">
      <c r="A351" s="1"/>
      <c r="J351" s="1"/>
      <c r="K351" s="6"/>
      <c r="L351" s="5"/>
      <c r="M351" s="5"/>
    </row>
    <row r="352" spans="1:13" x14ac:dyDescent="0.25">
      <c r="A352" s="1"/>
      <c r="J352" s="1"/>
      <c r="K352" s="6"/>
      <c r="L352" s="5"/>
      <c r="M352" s="5"/>
    </row>
    <row r="353" spans="1:13" x14ac:dyDescent="0.25">
      <c r="A353" s="1"/>
      <c r="J353" s="1"/>
      <c r="K353" s="6"/>
      <c r="L353" s="5"/>
      <c r="M353" s="5"/>
    </row>
    <row r="354" spans="1:13" x14ac:dyDescent="0.25">
      <c r="A354" s="1"/>
      <c r="J354" s="1"/>
      <c r="K354" s="6"/>
      <c r="L354" s="5"/>
      <c r="M354" s="5"/>
    </row>
    <row r="355" spans="1:13" x14ac:dyDescent="0.25">
      <c r="A355" s="1"/>
      <c r="J355" s="1"/>
      <c r="K355" s="6"/>
      <c r="L355" s="5"/>
      <c r="M355" s="5"/>
    </row>
    <row r="356" spans="1:13" x14ac:dyDescent="0.25">
      <c r="A356" s="1"/>
      <c r="J356" s="1"/>
      <c r="K356" s="6"/>
      <c r="L356" s="5"/>
      <c r="M356" s="5"/>
    </row>
    <row r="357" spans="1:13" x14ac:dyDescent="0.25">
      <c r="A357" s="1"/>
      <c r="J357" s="1"/>
      <c r="K357" s="6"/>
      <c r="L357" s="5"/>
      <c r="M357" s="5"/>
    </row>
    <row r="358" spans="1:13" x14ac:dyDescent="0.25">
      <c r="A358" s="1"/>
      <c r="J358" s="1"/>
      <c r="K358" s="6"/>
      <c r="L358" s="5"/>
      <c r="M358" s="5"/>
    </row>
    <row r="359" spans="1:13" x14ac:dyDescent="0.25">
      <c r="A359" s="1"/>
      <c r="J359" s="1"/>
      <c r="K359" s="6"/>
      <c r="L359" s="5"/>
      <c r="M359" s="5"/>
    </row>
    <row r="360" spans="1:13" x14ac:dyDescent="0.25">
      <c r="A360" s="1"/>
      <c r="J360" s="1"/>
      <c r="K360" s="6"/>
      <c r="L360" s="5"/>
      <c r="M360" s="5"/>
    </row>
    <row r="361" spans="1:13" x14ac:dyDescent="0.25">
      <c r="A361" s="1"/>
      <c r="J361" s="1"/>
      <c r="K361" s="6"/>
      <c r="L361" s="5"/>
      <c r="M361" s="5"/>
    </row>
    <row r="362" spans="1:13" x14ac:dyDescent="0.25">
      <c r="A362" s="1"/>
      <c r="J362" s="1"/>
      <c r="K362" s="6"/>
      <c r="L362" s="5"/>
      <c r="M362" s="5"/>
    </row>
    <row r="363" spans="1:13" x14ac:dyDescent="0.25">
      <c r="A363" s="1"/>
      <c r="J363" s="1"/>
      <c r="K363" s="6"/>
      <c r="L363" s="5"/>
      <c r="M363" s="5"/>
    </row>
    <row r="364" spans="1:13" x14ac:dyDescent="0.25">
      <c r="A364" s="1"/>
      <c r="J364" s="1"/>
      <c r="K364" s="6"/>
      <c r="L364" s="5"/>
      <c r="M364" s="5"/>
    </row>
    <row r="365" spans="1:13" x14ac:dyDescent="0.25">
      <c r="A365" s="1"/>
      <c r="J365" s="1"/>
      <c r="K365" s="6"/>
      <c r="L365" s="5"/>
      <c r="M365" s="5"/>
    </row>
    <row r="366" spans="1:13" x14ac:dyDescent="0.25">
      <c r="A366" s="1"/>
      <c r="J366" s="1"/>
      <c r="K366" s="6"/>
      <c r="L366" s="5"/>
      <c r="M366" s="5"/>
    </row>
    <row r="367" spans="1:13" x14ac:dyDescent="0.25">
      <c r="A367" s="1"/>
      <c r="J367" s="1"/>
      <c r="K367" s="6"/>
      <c r="L367" s="5"/>
      <c r="M367" s="5"/>
    </row>
    <row r="368" spans="1:13" x14ac:dyDescent="0.25">
      <c r="A368" s="1"/>
      <c r="J368" s="1"/>
      <c r="K368" s="6"/>
      <c r="L368" s="5"/>
      <c r="M368" s="5"/>
    </row>
    <row r="369" spans="1:13" x14ac:dyDescent="0.25">
      <c r="A369" s="1"/>
      <c r="J369" s="1"/>
      <c r="K369" s="6"/>
      <c r="L369" s="5"/>
      <c r="M369" s="5"/>
    </row>
    <row r="370" spans="1:13" x14ac:dyDescent="0.25">
      <c r="A370" s="1"/>
      <c r="J370" s="1"/>
      <c r="K370" s="6"/>
      <c r="L370" s="5"/>
      <c r="M370" s="5"/>
    </row>
    <row r="371" spans="1:13" x14ac:dyDescent="0.25">
      <c r="A371" s="1"/>
      <c r="J371" s="1"/>
      <c r="K371" s="6"/>
      <c r="L371" s="5"/>
      <c r="M371" s="5"/>
    </row>
    <row r="372" spans="1:13" x14ac:dyDescent="0.25">
      <c r="A372" s="1"/>
      <c r="J372" s="1"/>
      <c r="K372" s="6"/>
      <c r="L372" s="5"/>
      <c r="M372" s="5"/>
    </row>
    <row r="373" spans="1:13" x14ac:dyDescent="0.25">
      <c r="A373" s="1"/>
      <c r="J373" s="1"/>
      <c r="K373" s="6"/>
      <c r="L373" s="5"/>
      <c r="M373" s="5"/>
    </row>
    <row r="374" spans="1:13" x14ac:dyDescent="0.25">
      <c r="A374" s="1"/>
      <c r="J374" s="1"/>
      <c r="K374" s="6"/>
      <c r="L374" s="5"/>
      <c r="M374" s="5"/>
    </row>
    <row r="375" spans="1:13" x14ac:dyDescent="0.25">
      <c r="A375" s="1"/>
      <c r="J375" s="1"/>
      <c r="K375" s="6"/>
      <c r="L375" s="5"/>
      <c r="M375" s="5"/>
    </row>
    <row r="376" spans="1:13" x14ac:dyDescent="0.25">
      <c r="A376" s="1"/>
      <c r="J376" s="1"/>
      <c r="K376" s="6"/>
      <c r="L376" s="5"/>
      <c r="M376" s="5"/>
    </row>
    <row r="377" spans="1:13" x14ac:dyDescent="0.25">
      <c r="A377" s="1"/>
      <c r="J377" s="1"/>
      <c r="K377" s="6"/>
      <c r="L377" s="5"/>
      <c r="M377" s="5"/>
    </row>
    <row r="378" spans="1:13" x14ac:dyDescent="0.25">
      <c r="A378" s="1"/>
      <c r="J378" s="1"/>
      <c r="K378" s="6"/>
      <c r="L378" s="5"/>
      <c r="M378" s="5"/>
    </row>
    <row r="379" spans="1:13" x14ac:dyDescent="0.25">
      <c r="A379" s="1"/>
      <c r="J379" s="1"/>
      <c r="K379" s="6"/>
      <c r="L379" s="5"/>
      <c r="M379" s="5"/>
    </row>
    <row r="380" spans="1:13" x14ac:dyDescent="0.25">
      <c r="A380" s="1"/>
      <c r="J380" s="1"/>
      <c r="K380" s="6"/>
      <c r="L380" s="5"/>
      <c r="M380" s="5"/>
    </row>
    <row r="381" spans="1:13" x14ac:dyDescent="0.25">
      <c r="A381" s="1"/>
      <c r="J381" s="1"/>
      <c r="K381" s="6"/>
      <c r="L381" s="5"/>
      <c r="M381" s="5"/>
    </row>
    <row r="382" spans="1:13" x14ac:dyDescent="0.25">
      <c r="A382" s="1"/>
      <c r="J382" s="1"/>
      <c r="K382" s="6"/>
      <c r="L382" s="5"/>
      <c r="M382" s="5"/>
    </row>
    <row r="383" spans="1:13" x14ac:dyDescent="0.25">
      <c r="A383" s="1"/>
      <c r="J383" s="1"/>
      <c r="K383" s="6"/>
      <c r="L383" s="5"/>
      <c r="M383" s="5"/>
    </row>
    <row r="384" spans="1:13" x14ac:dyDescent="0.25">
      <c r="A384" s="1"/>
      <c r="J384" s="1"/>
      <c r="K384" s="6"/>
      <c r="L384" s="5"/>
      <c r="M384" s="5"/>
    </row>
    <row r="385" spans="1:13" x14ac:dyDescent="0.25">
      <c r="A385" s="1"/>
      <c r="J385" s="1"/>
      <c r="K385" s="6"/>
      <c r="L385" s="5"/>
      <c r="M385" s="5"/>
    </row>
    <row r="386" spans="1:13" x14ac:dyDescent="0.25">
      <c r="A386" s="1"/>
      <c r="J386" s="1"/>
      <c r="K386" s="6"/>
      <c r="L386" s="5"/>
      <c r="M386" s="5"/>
    </row>
    <row r="387" spans="1:13" x14ac:dyDescent="0.25">
      <c r="A387" s="1"/>
      <c r="J387" s="1"/>
      <c r="K387" s="6"/>
      <c r="L387" s="5"/>
      <c r="M387" s="5"/>
    </row>
    <row r="388" spans="1:13" x14ac:dyDescent="0.25">
      <c r="A388" s="1"/>
      <c r="J388" s="1"/>
      <c r="K388" s="6"/>
      <c r="L388" s="5"/>
      <c r="M388" s="5"/>
    </row>
    <row r="389" spans="1:13" x14ac:dyDescent="0.25">
      <c r="A389" s="1"/>
      <c r="J389" s="1"/>
      <c r="K389" s="6"/>
      <c r="L389" s="5"/>
      <c r="M389" s="5"/>
    </row>
    <row r="390" spans="1:13" x14ac:dyDescent="0.25">
      <c r="A390" s="1"/>
      <c r="J390" s="1"/>
      <c r="K390" s="6"/>
      <c r="L390" s="5"/>
      <c r="M390" s="5"/>
    </row>
    <row r="391" spans="1:13" x14ac:dyDescent="0.25">
      <c r="A391" s="1"/>
      <c r="J391" s="1"/>
      <c r="K391" s="6"/>
      <c r="L391" s="5"/>
      <c r="M391" s="5"/>
    </row>
    <row r="392" spans="1:13" x14ac:dyDescent="0.25">
      <c r="A392" s="1"/>
      <c r="J392" s="1"/>
      <c r="K392" s="6"/>
      <c r="L392" s="5"/>
      <c r="M392" s="5"/>
    </row>
    <row r="393" spans="1:13" x14ac:dyDescent="0.25">
      <c r="A393" s="1"/>
      <c r="J393" s="1"/>
      <c r="K393" s="6"/>
      <c r="L393" s="5"/>
      <c r="M393" s="5"/>
    </row>
    <row r="394" spans="1:13" x14ac:dyDescent="0.25">
      <c r="A394" s="1"/>
      <c r="J394" s="1"/>
      <c r="K394" s="6"/>
      <c r="L394" s="5"/>
      <c r="M394" s="5"/>
    </row>
    <row r="395" spans="1:13" x14ac:dyDescent="0.25">
      <c r="A395" s="1"/>
      <c r="J395" s="1"/>
      <c r="K395" s="6"/>
      <c r="L395" s="5"/>
      <c r="M395" s="5"/>
    </row>
    <row r="396" spans="1:13" x14ac:dyDescent="0.25">
      <c r="A396" s="1"/>
      <c r="J396" s="1"/>
      <c r="K396" s="6"/>
      <c r="L396" s="5"/>
      <c r="M396" s="5"/>
    </row>
    <row r="397" spans="1:13" x14ac:dyDescent="0.25">
      <c r="A397" s="1"/>
      <c r="J397" s="1"/>
      <c r="K397" s="6"/>
      <c r="L397" s="5"/>
      <c r="M397" s="5"/>
    </row>
    <row r="398" spans="1:13" x14ac:dyDescent="0.25">
      <c r="A398" s="1"/>
      <c r="J398" s="1"/>
      <c r="K398" s="6"/>
      <c r="L398" s="5"/>
      <c r="M398" s="5"/>
    </row>
    <row r="399" spans="1:13" x14ac:dyDescent="0.25">
      <c r="A399" s="1"/>
      <c r="J399" s="1"/>
      <c r="K399" s="6"/>
      <c r="L399" s="5"/>
      <c r="M399" s="5"/>
    </row>
    <row r="400" spans="1:13" x14ac:dyDescent="0.25">
      <c r="A400" s="1"/>
      <c r="J400" s="1"/>
      <c r="K400" s="6"/>
      <c r="L400" s="5"/>
      <c r="M400" s="5"/>
    </row>
    <row r="401" spans="1:13" x14ac:dyDescent="0.25">
      <c r="A401" s="1"/>
      <c r="J401" s="1"/>
      <c r="K401" s="6"/>
      <c r="L401" s="5"/>
      <c r="M401" s="5"/>
    </row>
    <row r="402" spans="1:13" x14ac:dyDescent="0.25">
      <c r="A402" s="1"/>
      <c r="J402" s="1"/>
      <c r="K402" s="6"/>
      <c r="L402" s="5"/>
      <c r="M402" s="5"/>
    </row>
    <row r="403" spans="1:13" x14ac:dyDescent="0.25">
      <c r="A403" s="1"/>
      <c r="J403" s="1"/>
      <c r="K403" s="6"/>
      <c r="L403" s="5"/>
      <c r="M403" s="5"/>
    </row>
    <row r="404" spans="1:13" x14ac:dyDescent="0.25">
      <c r="A404" s="1"/>
      <c r="J404" s="1"/>
      <c r="K404" s="6"/>
      <c r="L404" s="5"/>
      <c r="M404" s="5"/>
    </row>
    <row r="405" spans="1:13" x14ac:dyDescent="0.25">
      <c r="A405" s="1"/>
      <c r="J405" s="1"/>
      <c r="K405" s="6"/>
      <c r="L405" s="5"/>
      <c r="M405" s="5"/>
    </row>
    <row r="406" spans="1:13" x14ac:dyDescent="0.25">
      <c r="A406" s="1"/>
      <c r="J406" s="1"/>
      <c r="K406" s="6"/>
      <c r="L406" s="5"/>
      <c r="M406" s="5"/>
    </row>
    <row r="407" spans="1:13" x14ac:dyDescent="0.25">
      <c r="A407" s="1"/>
      <c r="J407" s="1"/>
      <c r="K407" s="6"/>
      <c r="L407" s="5"/>
      <c r="M407" s="5"/>
    </row>
    <row r="408" spans="1:13" x14ac:dyDescent="0.25">
      <c r="A408" s="1"/>
      <c r="J408" s="1"/>
      <c r="K408" s="6"/>
      <c r="L408" s="5"/>
      <c r="M408" s="5"/>
    </row>
    <row r="409" spans="1:13" x14ac:dyDescent="0.25">
      <c r="A409" s="1"/>
      <c r="J409" s="1"/>
      <c r="K409" s="6"/>
      <c r="L409" s="5"/>
      <c r="M409" s="5"/>
    </row>
    <row r="410" spans="1:13" x14ac:dyDescent="0.25">
      <c r="A410" s="1"/>
      <c r="J410" s="1"/>
      <c r="K410" s="6"/>
      <c r="L410" s="5"/>
      <c r="M410" s="5"/>
    </row>
    <row r="411" spans="1:13" x14ac:dyDescent="0.25">
      <c r="A411" s="1"/>
      <c r="J411" s="1"/>
      <c r="K411" s="6"/>
      <c r="L411" s="5"/>
      <c r="M411" s="5"/>
    </row>
    <row r="412" spans="1:13" x14ac:dyDescent="0.25">
      <c r="A412" s="1"/>
      <c r="J412" s="1"/>
      <c r="K412" s="6"/>
      <c r="L412" s="5"/>
      <c r="M412" s="5"/>
    </row>
    <row r="413" spans="1:13" x14ac:dyDescent="0.25">
      <c r="A413" s="1"/>
      <c r="J413" s="1"/>
      <c r="K413" s="6"/>
      <c r="L413" s="5"/>
      <c r="M413" s="5"/>
    </row>
    <row r="414" spans="1:13" x14ac:dyDescent="0.25">
      <c r="A414" s="1"/>
      <c r="J414" s="1"/>
      <c r="K414" s="6"/>
      <c r="L414" s="5"/>
      <c r="M414" s="5"/>
    </row>
    <row r="415" spans="1:13" x14ac:dyDescent="0.25">
      <c r="A415" s="1"/>
      <c r="J415" s="1"/>
      <c r="K415" s="6"/>
      <c r="L415" s="5"/>
      <c r="M415" s="5"/>
    </row>
    <row r="416" spans="1:13" x14ac:dyDescent="0.25">
      <c r="A416" s="1"/>
      <c r="J416" s="1"/>
      <c r="K416" s="6"/>
      <c r="L416" s="5"/>
      <c r="M416" s="5"/>
    </row>
    <row r="417" spans="1:13" x14ac:dyDescent="0.25">
      <c r="A417" s="1"/>
      <c r="J417" s="1"/>
      <c r="K417" s="6"/>
      <c r="L417" s="5"/>
      <c r="M417" s="5"/>
    </row>
    <row r="418" spans="1:13" x14ac:dyDescent="0.25">
      <c r="A418" s="1"/>
      <c r="J418" s="1"/>
      <c r="K418" s="6"/>
      <c r="L418" s="5"/>
      <c r="M418" s="5"/>
    </row>
    <row r="419" spans="1:13" x14ac:dyDescent="0.25">
      <c r="A419" s="1"/>
      <c r="J419" s="1"/>
      <c r="K419" s="6"/>
      <c r="L419" s="5"/>
      <c r="M419" s="5"/>
    </row>
    <row r="420" spans="1:13" x14ac:dyDescent="0.25">
      <c r="A420" s="1"/>
      <c r="J420" s="1"/>
      <c r="K420" s="6"/>
      <c r="L420" s="5"/>
      <c r="M420" s="5"/>
    </row>
    <row r="421" spans="1:13" x14ac:dyDescent="0.25">
      <c r="A421" s="1"/>
      <c r="J421" s="1"/>
      <c r="K421" s="6"/>
      <c r="L421" s="5"/>
      <c r="M421" s="5"/>
    </row>
    <row r="422" spans="1:13" x14ac:dyDescent="0.25">
      <c r="A422" s="1"/>
      <c r="J422" s="1"/>
      <c r="K422" s="6"/>
      <c r="L422" s="5"/>
      <c r="M422" s="5"/>
    </row>
    <row r="423" spans="1:13" x14ac:dyDescent="0.25">
      <c r="A423" s="1"/>
      <c r="J423" s="1"/>
      <c r="K423" s="6"/>
      <c r="L423" s="5"/>
      <c r="M423" s="5"/>
    </row>
    <row r="424" spans="1:13" x14ac:dyDescent="0.25">
      <c r="A424" s="1"/>
      <c r="J424" s="1"/>
      <c r="K424" s="6"/>
      <c r="L424" s="5"/>
      <c r="M424" s="5"/>
    </row>
    <row r="425" spans="1:13" x14ac:dyDescent="0.25">
      <c r="A425" s="1"/>
      <c r="J425" s="1"/>
      <c r="K425" s="6"/>
      <c r="L425" s="5"/>
      <c r="M425" s="5"/>
    </row>
    <row r="426" spans="1:13" x14ac:dyDescent="0.25">
      <c r="A426" s="1"/>
      <c r="J426" s="1"/>
      <c r="K426" s="6"/>
      <c r="L426" s="5"/>
      <c r="M426" s="5"/>
    </row>
    <row r="427" spans="1:13" x14ac:dyDescent="0.25">
      <c r="A427" s="1"/>
      <c r="J427" s="1"/>
      <c r="K427" s="6"/>
      <c r="L427" s="5"/>
      <c r="M427" s="5"/>
    </row>
    <row r="428" spans="1:13" x14ac:dyDescent="0.25">
      <c r="A428" s="1"/>
      <c r="J428" s="1"/>
      <c r="K428" s="6"/>
      <c r="L428" s="5"/>
      <c r="M428" s="5"/>
    </row>
    <row r="429" spans="1:13" x14ac:dyDescent="0.25">
      <c r="A429" s="1"/>
      <c r="J429" s="1"/>
      <c r="K429" s="6"/>
      <c r="L429" s="5"/>
      <c r="M429" s="5"/>
    </row>
    <row r="430" spans="1:13" x14ac:dyDescent="0.25">
      <c r="A430" s="1"/>
      <c r="J430" s="1"/>
      <c r="K430" s="6"/>
      <c r="L430" s="5"/>
      <c r="M430" s="5"/>
    </row>
    <row r="431" spans="1:13" x14ac:dyDescent="0.25">
      <c r="A431" s="1"/>
      <c r="J431" s="1"/>
      <c r="K431" s="6"/>
      <c r="L431" s="5"/>
      <c r="M431" s="5"/>
    </row>
    <row r="432" spans="1:13" x14ac:dyDescent="0.25">
      <c r="A432" s="1"/>
      <c r="J432" s="1"/>
      <c r="K432" s="6"/>
      <c r="L432" s="5"/>
      <c r="M432" s="5"/>
    </row>
    <row r="433" spans="1:13" x14ac:dyDescent="0.25">
      <c r="A433" s="1"/>
      <c r="J433" s="1"/>
      <c r="K433" s="6"/>
      <c r="L433" s="5"/>
      <c r="M433" s="5"/>
    </row>
    <row r="434" spans="1:13" x14ac:dyDescent="0.25">
      <c r="A434" s="1"/>
      <c r="J434" s="1"/>
      <c r="K434" s="6"/>
      <c r="L434" s="5"/>
      <c r="M434" s="5"/>
    </row>
    <row r="435" spans="1:13" x14ac:dyDescent="0.25">
      <c r="A435" s="1"/>
      <c r="J435" s="1"/>
      <c r="K435" s="6"/>
      <c r="L435" s="5"/>
      <c r="M435" s="5"/>
    </row>
    <row r="436" spans="1:13" x14ac:dyDescent="0.25">
      <c r="A436" s="1"/>
      <c r="J436" s="1"/>
      <c r="K436" s="6"/>
      <c r="L436" s="5"/>
      <c r="M436" s="5"/>
    </row>
    <row r="437" spans="1:13" x14ac:dyDescent="0.25">
      <c r="A437" s="1"/>
      <c r="J437" s="1"/>
      <c r="K437" s="6"/>
      <c r="L437" s="5"/>
      <c r="M437" s="5"/>
    </row>
    <row r="438" spans="1:13" x14ac:dyDescent="0.25">
      <c r="A438" s="1"/>
      <c r="J438" s="1"/>
      <c r="K438" s="6"/>
      <c r="L438" s="5"/>
      <c r="M438" s="5"/>
    </row>
    <row r="439" spans="1:13" x14ac:dyDescent="0.25">
      <c r="A439" s="1"/>
      <c r="J439" s="1"/>
      <c r="K439" s="6"/>
      <c r="L439" s="5"/>
      <c r="M439" s="5"/>
    </row>
    <row r="440" spans="1:13" x14ac:dyDescent="0.25">
      <c r="A440" s="1"/>
      <c r="J440" s="1"/>
      <c r="K440" s="6"/>
      <c r="L440" s="5"/>
      <c r="M440" s="5"/>
    </row>
    <row r="441" spans="1:13" x14ac:dyDescent="0.25">
      <c r="A441" s="1"/>
      <c r="J441" s="1"/>
      <c r="K441" s="6"/>
      <c r="L441" s="5"/>
      <c r="M441" s="5"/>
    </row>
    <row r="442" spans="1:13" x14ac:dyDescent="0.25">
      <c r="A442" s="1"/>
      <c r="J442" s="1"/>
      <c r="K442" s="6"/>
      <c r="L442" s="5"/>
      <c r="M442" s="5"/>
    </row>
    <row r="443" spans="1:13" x14ac:dyDescent="0.25">
      <c r="A443" s="1"/>
      <c r="J443" s="1"/>
      <c r="K443" s="6"/>
      <c r="L443" s="5"/>
      <c r="M443" s="5"/>
    </row>
    <row r="444" spans="1:13" x14ac:dyDescent="0.25">
      <c r="A444" s="1"/>
      <c r="J444" s="1"/>
      <c r="K444" s="6"/>
      <c r="L444" s="5"/>
      <c r="M444" s="5"/>
    </row>
    <row r="445" spans="1:13" x14ac:dyDescent="0.25">
      <c r="A445" s="1"/>
      <c r="J445" s="1"/>
      <c r="K445" s="6"/>
      <c r="L445" s="5"/>
      <c r="M445" s="5"/>
    </row>
    <row r="446" spans="1:13" x14ac:dyDescent="0.25">
      <c r="A446" s="1"/>
      <c r="J446" s="1"/>
      <c r="K446" s="6"/>
      <c r="L446" s="5"/>
      <c r="M446" s="5"/>
    </row>
    <row r="447" spans="1:13" x14ac:dyDescent="0.25">
      <c r="A447" s="1"/>
      <c r="J447" s="1"/>
      <c r="K447" s="6"/>
      <c r="L447" s="5"/>
      <c r="M447" s="5"/>
    </row>
    <row r="448" spans="1:13" x14ac:dyDescent="0.25">
      <c r="A448" s="1"/>
      <c r="J448" s="1"/>
      <c r="K448" s="6"/>
      <c r="L448" s="5"/>
      <c r="M448" s="5"/>
    </row>
    <row r="449" spans="1:13" x14ac:dyDescent="0.25">
      <c r="A449" s="1"/>
      <c r="J449" s="1"/>
      <c r="K449" s="6"/>
      <c r="L449" s="5"/>
      <c r="M449" s="5"/>
    </row>
    <row r="450" spans="1:13" x14ac:dyDescent="0.25">
      <c r="A450" s="1"/>
      <c r="J450" s="1"/>
      <c r="K450" s="6"/>
      <c r="L450" s="5"/>
      <c r="M450" s="5"/>
    </row>
    <row r="451" spans="1:13" x14ac:dyDescent="0.25">
      <c r="A451" s="1"/>
      <c r="J451" s="1"/>
      <c r="K451" s="6"/>
      <c r="L451" s="5"/>
      <c r="M451" s="5"/>
    </row>
    <row r="452" spans="1:13" x14ac:dyDescent="0.25">
      <c r="A452" s="1"/>
      <c r="J452" s="1"/>
      <c r="K452" s="6"/>
      <c r="L452" s="5"/>
      <c r="M452" s="5"/>
    </row>
    <row r="453" spans="1:13" x14ac:dyDescent="0.25">
      <c r="A453" s="1"/>
      <c r="J453" s="1"/>
      <c r="K453" s="6"/>
      <c r="L453" s="5"/>
      <c r="M453" s="5"/>
    </row>
    <row r="454" spans="1:13" x14ac:dyDescent="0.25">
      <c r="A454" s="1"/>
      <c r="J454" s="1"/>
      <c r="K454" s="6"/>
      <c r="L454" s="5"/>
      <c r="M454" s="5"/>
    </row>
    <row r="455" spans="1:13" x14ac:dyDescent="0.25">
      <c r="A455" s="1"/>
      <c r="J455" s="1"/>
      <c r="K455" s="6"/>
      <c r="L455" s="5"/>
      <c r="M455" s="5"/>
    </row>
    <row r="456" spans="1:13" x14ac:dyDescent="0.25">
      <c r="A456" s="1"/>
      <c r="J456" s="1"/>
      <c r="K456" s="6"/>
      <c r="L456" s="5"/>
      <c r="M456" s="5"/>
    </row>
    <row r="457" spans="1:13" x14ac:dyDescent="0.25">
      <c r="A457" s="1"/>
      <c r="J457" s="1"/>
      <c r="K457" s="6"/>
      <c r="L457" s="5"/>
      <c r="M457" s="5"/>
    </row>
    <row r="458" spans="1:13" x14ac:dyDescent="0.25">
      <c r="A458" s="1"/>
      <c r="J458" s="1"/>
      <c r="K458" s="6"/>
      <c r="L458" s="5"/>
      <c r="M458" s="5"/>
    </row>
    <row r="459" spans="1:13" x14ac:dyDescent="0.25">
      <c r="A459" s="1"/>
      <c r="J459" s="1"/>
      <c r="K459" s="6"/>
      <c r="L459" s="5"/>
      <c r="M459" s="5"/>
    </row>
    <row r="460" spans="1:13" x14ac:dyDescent="0.25">
      <c r="A460" s="1"/>
      <c r="J460" s="1"/>
      <c r="K460" s="6"/>
      <c r="L460" s="5"/>
      <c r="M460" s="5"/>
    </row>
    <row r="461" spans="1:13" x14ac:dyDescent="0.25">
      <c r="A461" s="1"/>
      <c r="J461" s="1"/>
      <c r="K461" s="6"/>
      <c r="L461" s="5"/>
      <c r="M461" s="5"/>
    </row>
    <row r="462" spans="1:13" x14ac:dyDescent="0.25">
      <c r="A462" s="1"/>
      <c r="J462" s="1"/>
      <c r="K462" s="6"/>
      <c r="L462" s="5"/>
      <c r="M462" s="5"/>
    </row>
    <row r="463" spans="1:13" x14ac:dyDescent="0.25">
      <c r="A463" s="1"/>
      <c r="J463" s="1"/>
      <c r="K463" s="6"/>
      <c r="L463" s="5"/>
      <c r="M463" s="5"/>
    </row>
    <row r="464" spans="1:13" x14ac:dyDescent="0.25">
      <c r="A464" s="1"/>
      <c r="J464" s="1"/>
      <c r="K464" s="6"/>
      <c r="L464" s="5"/>
      <c r="M464" s="5"/>
    </row>
    <row r="465" spans="1:13" x14ac:dyDescent="0.25">
      <c r="A465" s="1"/>
      <c r="J465" s="1"/>
      <c r="K465" s="6"/>
      <c r="L465" s="5"/>
      <c r="M465" s="5"/>
    </row>
    <row r="466" spans="1:13" x14ac:dyDescent="0.25">
      <c r="A466" s="1"/>
      <c r="J466" s="1"/>
      <c r="K466" s="6"/>
      <c r="L466" s="5"/>
      <c r="M466" s="5"/>
    </row>
    <row r="467" spans="1:13" x14ac:dyDescent="0.25">
      <c r="A467" s="1"/>
      <c r="J467" s="1"/>
      <c r="K467" s="6"/>
      <c r="L467" s="5"/>
      <c r="M467" s="5"/>
    </row>
    <row r="468" spans="1:13" x14ac:dyDescent="0.25">
      <c r="A468" s="1"/>
      <c r="J468" s="1"/>
      <c r="K468" s="6"/>
      <c r="L468" s="5"/>
      <c r="M468" s="5"/>
    </row>
    <row r="469" spans="1:13" x14ac:dyDescent="0.25">
      <c r="A469" s="1"/>
      <c r="J469" s="1"/>
      <c r="K469" s="6"/>
      <c r="L469" s="5"/>
      <c r="M469" s="5"/>
    </row>
    <row r="470" spans="1:13" x14ac:dyDescent="0.25">
      <c r="A470" s="1"/>
      <c r="J470" s="1"/>
      <c r="K470" s="6"/>
      <c r="L470" s="5"/>
      <c r="M470" s="5"/>
    </row>
    <row r="471" spans="1:13" x14ac:dyDescent="0.25">
      <c r="A471" s="1"/>
      <c r="J471" s="1"/>
      <c r="K471" s="6"/>
      <c r="L471" s="5"/>
      <c r="M471" s="5"/>
    </row>
    <row r="472" spans="1:13" x14ac:dyDescent="0.25">
      <c r="A472" s="1"/>
      <c r="J472" s="1"/>
      <c r="K472" s="6"/>
      <c r="L472" s="5"/>
      <c r="M472" s="5"/>
    </row>
    <row r="473" spans="1:13" x14ac:dyDescent="0.25">
      <c r="A473" s="1"/>
      <c r="J473" s="1"/>
      <c r="K473" s="6"/>
      <c r="L473" s="5"/>
      <c r="M473" s="5"/>
    </row>
    <row r="474" spans="1:13" x14ac:dyDescent="0.25">
      <c r="A474" s="1"/>
      <c r="J474" s="1"/>
      <c r="K474" s="6"/>
      <c r="L474" s="5"/>
      <c r="M474" s="5"/>
    </row>
    <row r="475" spans="1:13" x14ac:dyDescent="0.25">
      <c r="A475" s="1"/>
      <c r="J475" s="1"/>
      <c r="K475" s="6"/>
      <c r="L475" s="5"/>
      <c r="M475" s="5"/>
    </row>
    <row r="476" spans="1:13" x14ac:dyDescent="0.25">
      <c r="A476" s="1"/>
      <c r="J476" s="1"/>
      <c r="K476" s="6"/>
      <c r="L476" s="5"/>
      <c r="M476" s="5"/>
    </row>
    <row r="477" spans="1:13" x14ac:dyDescent="0.25">
      <c r="A477" s="1"/>
      <c r="J477" s="1"/>
      <c r="K477" s="6"/>
      <c r="L477" s="5"/>
      <c r="M477" s="5"/>
    </row>
    <row r="478" spans="1:13" x14ac:dyDescent="0.25">
      <c r="A478" s="1"/>
      <c r="J478" s="1"/>
      <c r="K478" s="6"/>
      <c r="L478" s="5"/>
      <c r="M478" s="5"/>
    </row>
    <row r="479" spans="1:13" x14ac:dyDescent="0.25">
      <c r="A479" s="1"/>
      <c r="J479" s="1"/>
      <c r="K479" s="6"/>
      <c r="L479" s="5"/>
      <c r="M479" s="5"/>
    </row>
    <row r="480" spans="1:13" x14ac:dyDescent="0.25">
      <c r="A480" s="1"/>
      <c r="J480" s="1"/>
      <c r="K480" s="6"/>
      <c r="L480" s="5"/>
      <c r="M480" s="5"/>
    </row>
    <row r="481" spans="1:13" x14ac:dyDescent="0.25">
      <c r="A481" s="1"/>
      <c r="J481" s="1"/>
      <c r="K481" s="6"/>
      <c r="L481" s="5"/>
      <c r="M481" s="5"/>
    </row>
    <row r="482" spans="1:13" x14ac:dyDescent="0.25">
      <c r="A482" s="1"/>
      <c r="J482" s="1"/>
      <c r="K482" s="6"/>
      <c r="L482" s="5"/>
      <c r="M482" s="5"/>
    </row>
    <row r="483" spans="1:13" x14ac:dyDescent="0.25">
      <c r="A483" s="1"/>
      <c r="J483" s="1"/>
      <c r="K483" s="6"/>
      <c r="L483" s="5"/>
      <c r="M483" s="5"/>
    </row>
    <row r="484" spans="1:13" x14ac:dyDescent="0.25">
      <c r="A484" s="1"/>
      <c r="J484" s="1"/>
      <c r="K484" s="6"/>
      <c r="L484" s="5"/>
      <c r="M484" s="5"/>
    </row>
    <row r="485" spans="1:13" x14ac:dyDescent="0.25">
      <c r="A485" s="1"/>
      <c r="J485" s="1"/>
      <c r="K485" s="6"/>
      <c r="L485" s="5"/>
      <c r="M485" s="5"/>
    </row>
    <row r="486" spans="1:13" x14ac:dyDescent="0.25">
      <c r="A486" s="1"/>
      <c r="J486" s="1"/>
      <c r="K486" s="6"/>
      <c r="L486" s="5"/>
      <c r="M486" s="5"/>
    </row>
    <row r="487" spans="1:13" x14ac:dyDescent="0.25">
      <c r="A487" s="1"/>
      <c r="J487" s="1"/>
      <c r="K487" s="6"/>
      <c r="L487" s="5"/>
      <c r="M487" s="5"/>
    </row>
    <row r="488" spans="1:13" x14ac:dyDescent="0.25">
      <c r="A488" s="1"/>
      <c r="J488" s="1"/>
      <c r="K488" s="6"/>
      <c r="L488" s="5"/>
      <c r="M488" s="5"/>
    </row>
    <row r="489" spans="1:13" x14ac:dyDescent="0.25">
      <c r="A489" s="1"/>
      <c r="J489" s="1"/>
      <c r="K489" s="6"/>
      <c r="L489" s="5"/>
      <c r="M489" s="5"/>
    </row>
    <row r="490" spans="1:13" x14ac:dyDescent="0.25">
      <c r="A490" s="1"/>
      <c r="J490" s="1"/>
      <c r="K490" s="6"/>
      <c r="L490" s="5"/>
      <c r="M490" s="5"/>
    </row>
    <row r="491" spans="1:13" x14ac:dyDescent="0.25">
      <c r="A491" s="1"/>
      <c r="J491" s="1"/>
      <c r="K491" s="6"/>
      <c r="L491" s="5"/>
      <c r="M491" s="5"/>
    </row>
    <row r="492" spans="1:13" x14ac:dyDescent="0.25">
      <c r="A492" s="1"/>
      <c r="J492" s="1"/>
      <c r="K492" s="6"/>
      <c r="L492" s="5"/>
      <c r="M492" s="5"/>
    </row>
    <row r="493" spans="1:13" x14ac:dyDescent="0.25">
      <c r="A493" s="1"/>
      <c r="J493" s="1"/>
      <c r="K493" s="6"/>
      <c r="L493" s="5"/>
      <c r="M493" s="5"/>
    </row>
    <row r="494" spans="1:13" x14ac:dyDescent="0.25">
      <c r="A494" s="1"/>
      <c r="J494" s="1"/>
      <c r="K494" s="6"/>
      <c r="L494" s="5"/>
      <c r="M494" s="5"/>
    </row>
    <row r="495" spans="1:13" x14ac:dyDescent="0.25">
      <c r="A495" s="1"/>
      <c r="J495" s="1"/>
      <c r="K495" s="6"/>
      <c r="L495" s="5"/>
      <c r="M495" s="5"/>
    </row>
    <row r="496" spans="1:13" x14ac:dyDescent="0.25">
      <c r="A496" s="1"/>
      <c r="J496" s="1"/>
      <c r="K496" s="6"/>
      <c r="L496" s="5"/>
      <c r="M496" s="5"/>
    </row>
    <row r="497" spans="1:13" x14ac:dyDescent="0.25">
      <c r="A497" s="1"/>
      <c r="J497" s="1"/>
      <c r="K497" s="6"/>
      <c r="L497" s="5"/>
      <c r="M497" s="5"/>
    </row>
    <row r="498" spans="1:13" x14ac:dyDescent="0.25">
      <c r="A498" s="1"/>
      <c r="J498" s="1"/>
      <c r="K498" s="6"/>
      <c r="L498" s="5"/>
      <c r="M498" s="5"/>
    </row>
    <row r="499" spans="1:13" x14ac:dyDescent="0.25">
      <c r="A499" s="1"/>
      <c r="J499" s="1"/>
      <c r="K499" s="6"/>
      <c r="L499" s="5"/>
      <c r="M499" s="5"/>
    </row>
    <row r="500" spans="1:13" x14ac:dyDescent="0.25">
      <c r="A500" s="1"/>
      <c r="J500" s="1"/>
      <c r="K500" s="6"/>
      <c r="L500" s="5"/>
      <c r="M500" s="5"/>
    </row>
    <row r="501" spans="1:13" x14ac:dyDescent="0.25">
      <c r="A501" s="1"/>
      <c r="J501" s="1"/>
      <c r="K501" s="6"/>
      <c r="L501" s="5"/>
      <c r="M501" s="5"/>
    </row>
    <row r="502" spans="1:13" x14ac:dyDescent="0.25">
      <c r="A502" s="1"/>
      <c r="J502" s="1"/>
      <c r="K502" s="6"/>
      <c r="L502" s="5"/>
      <c r="M502" s="5"/>
    </row>
    <row r="503" spans="1:13" x14ac:dyDescent="0.25">
      <c r="A503" s="1"/>
      <c r="J503" s="1"/>
      <c r="K503" s="6"/>
      <c r="L503" s="5"/>
      <c r="M503" s="5"/>
    </row>
    <row r="504" spans="1:13" x14ac:dyDescent="0.25">
      <c r="A504" s="1"/>
      <c r="J504" s="1"/>
      <c r="K504" s="6"/>
      <c r="L504" s="5"/>
      <c r="M504" s="5"/>
    </row>
    <row r="505" spans="1:13" x14ac:dyDescent="0.25">
      <c r="A505" s="1"/>
      <c r="J505" s="1"/>
      <c r="K505" s="6"/>
      <c r="L505" s="5"/>
      <c r="M505" s="5"/>
    </row>
    <row r="506" spans="1:13" x14ac:dyDescent="0.25">
      <c r="A506" s="1"/>
      <c r="J506" s="1"/>
      <c r="K506" s="6"/>
      <c r="L506" s="5"/>
      <c r="M506" s="5"/>
    </row>
    <row r="507" spans="1:13" x14ac:dyDescent="0.25">
      <c r="A507" s="1"/>
      <c r="J507" s="1"/>
      <c r="K507" s="6"/>
      <c r="L507" s="5"/>
      <c r="M507" s="5"/>
    </row>
    <row r="508" spans="1:13" x14ac:dyDescent="0.25">
      <c r="A508" s="1"/>
      <c r="J508" s="1"/>
      <c r="K508" s="6"/>
      <c r="L508" s="5"/>
      <c r="M508" s="5"/>
    </row>
    <row r="509" spans="1:13" x14ac:dyDescent="0.25">
      <c r="A509" s="1"/>
      <c r="J509" s="1"/>
      <c r="K509" s="6"/>
      <c r="L509" s="5"/>
      <c r="M509" s="5"/>
    </row>
    <row r="510" spans="1:13" x14ac:dyDescent="0.25">
      <c r="A510" s="1"/>
      <c r="J510" s="1"/>
      <c r="K510" s="6"/>
      <c r="L510" s="5"/>
      <c r="M510" s="5"/>
    </row>
    <row r="511" spans="1:13" x14ac:dyDescent="0.25">
      <c r="A511" s="1"/>
      <c r="J511" s="1"/>
      <c r="K511" s="6"/>
      <c r="L511" s="5"/>
      <c r="M511" s="5"/>
    </row>
    <row r="512" spans="1:13" x14ac:dyDescent="0.25">
      <c r="A512" s="1"/>
      <c r="J512" s="1"/>
      <c r="K512" s="6"/>
      <c r="L512" s="5"/>
      <c r="M512" s="5"/>
    </row>
    <row r="513" spans="1:13" x14ac:dyDescent="0.25">
      <c r="A513" s="1"/>
      <c r="J513" s="1"/>
      <c r="K513" s="6"/>
      <c r="L513" s="5"/>
      <c r="M513" s="5"/>
    </row>
    <row r="514" spans="1:13" x14ac:dyDescent="0.25">
      <c r="A514" s="1"/>
      <c r="J514" s="1"/>
      <c r="K514" s="6"/>
      <c r="L514" s="5"/>
      <c r="M514" s="5"/>
    </row>
    <row r="515" spans="1:13" x14ac:dyDescent="0.25">
      <c r="A515" s="1"/>
      <c r="J515" s="1"/>
      <c r="K515" s="6"/>
      <c r="L515" s="5"/>
      <c r="M515" s="5"/>
    </row>
    <row r="516" spans="1:13" x14ac:dyDescent="0.25">
      <c r="A516" s="1"/>
      <c r="J516" s="1"/>
      <c r="K516" s="6"/>
      <c r="L516" s="5"/>
      <c r="M516" s="5"/>
    </row>
    <row r="517" spans="1:13" x14ac:dyDescent="0.25">
      <c r="A517" s="1"/>
      <c r="J517" s="1"/>
      <c r="K517" s="6"/>
      <c r="L517" s="5"/>
      <c r="M517" s="5"/>
    </row>
    <row r="518" spans="1:13" x14ac:dyDescent="0.25">
      <c r="A518" s="1"/>
      <c r="J518" s="1"/>
      <c r="K518" s="6"/>
      <c r="L518" s="5"/>
      <c r="M518" s="5"/>
    </row>
    <row r="519" spans="1:13" x14ac:dyDescent="0.25">
      <c r="A519" s="1"/>
      <c r="J519" s="1"/>
      <c r="K519" s="6"/>
      <c r="L519" s="5"/>
      <c r="M519" s="5"/>
    </row>
    <row r="520" spans="1:13" x14ac:dyDescent="0.25">
      <c r="A520" s="1"/>
      <c r="J520" s="1"/>
      <c r="K520" s="6"/>
      <c r="L520" s="5"/>
      <c r="M520" s="5"/>
    </row>
    <row r="521" spans="1:13" x14ac:dyDescent="0.25">
      <c r="A521" s="1"/>
      <c r="J521" s="1"/>
      <c r="K521" s="6"/>
      <c r="L521" s="5"/>
      <c r="M521" s="5"/>
    </row>
    <row r="522" spans="1:13" x14ac:dyDescent="0.25">
      <c r="A522" s="1"/>
      <c r="J522" s="1"/>
      <c r="K522" s="6"/>
      <c r="L522" s="5"/>
      <c r="M522" s="5"/>
    </row>
    <row r="523" spans="1:13" x14ac:dyDescent="0.25">
      <c r="A523" s="1"/>
      <c r="J523" s="1"/>
      <c r="K523" s="6"/>
      <c r="L523" s="5"/>
      <c r="M523" s="5"/>
    </row>
    <row r="524" spans="1:13" x14ac:dyDescent="0.25">
      <c r="A524" s="1"/>
      <c r="J524" s="1"/>
      <c r="K524" s="6"/>
      <c r="L524" s="5"/>
      <c r="M524" s="5"/>
    </row>
    <row r="525" spans="1:13" x14ac:dyDescent="0.25">
      <c r="A525" s="1"/>
      <c r="J525" s="1"/>
      <c r="K525" s="6"/>
      <c r="L525" s="5"/>
      <c r="M525" s="5"/>
    </row>
    <row r="526" spans="1:13" x14ac:dyDescent="0.25">
      <c r="A526" s="1"/>
      <c r="J526" s="1"/>
      <c r="K526" s="6"/>
      <c r="L526" s="5"/>
      <c r="M526" s="5"/>
    </row>
    <row r="527" spans="1:13" x14ac:dyDescent="0.25">
      <c r="A527" s="1"/>
      <c r="J527" s="1"/>
      <c r="K527" s="6"/>
      <c r="L527" s="5"/>
      <c r="M527" s="5"/>
    </row>
    <row r="528" spans="1:13" x14ac:dyDescent="0.25">
      <c r="A528" s="1"/>
      <c r="J528" s="1"/>
      <c r="K528" s="6"/>
      <c r="L528" s="5"/>
      <c r="M528" s="5"/>
    </row>
    <row r="529" spans="1:13" x14ac:dyDescent="0.25">
      <c r="A529" s="1"/>
      <c r="J529" s="1"/>
      <c r="K529" s="6"/>
      <c r="L529" s="5"/>
      <c r="M529" s="5"/>
    </row>
    <row r="530" spans="1:13" x14ac:dyDescent="0.25">
      <c r="A530" s="1"/>
      <c r="J530" s="1"/>
      <c r="K530" s="6"/>
      <c r="L530" s="5"/>
      <c r="M530" s="5"/>
    </row>
    <row r="531" spans="1:13" x14ac:dyDescent="0.25">
      <c r="A531" s="1"/>
      <c r="J531" s="1"/>
      <c r="K531" s="6"/>
      <c r="L531" s="5"/>
      <c r="M531" s="5"/>
    </row>
    <row r="532" spans="1:13" x14ac:dyDescent="0.25">
      <c r="A532" s="1"/>
      <c r="J532" s="1"/>
      <c r="K532" s="6"/>
      <c r="L532" s="5"/>
      <c r="M532" s="5"/>
    </row>
    <row r="533" spans="1:13" x14ac:dyDescent="0.25">
      <c r="A533" s="1"/>
      <c r="J533" s="1"/>
      <c r="K533" s="6"/>
      <c r="L533" s="5"/>
      <c r="M533" s="5"/>
    </row>
    <row r="534" spans="1:13" x14ac:dyDescent="0.25">
      <c r="A534" s="1"/>
      <c r="J534" s="1"/>
      <c r="K534" s="6"/>
      <c r="L534" s="5"/>
      <c r="M534" s="5"/>
    </row>
    <row r="535" spans="1:13" x14ac:dyDescent="0.25">
      <c r="A535" s="1"/>
      <c r="J535" s="1"/>
      <c r="K535" s="6"/>
      <c r="L535" s="5"/>
      <c r="M535" s="5"/>
    </row>
    <row r="536" spans="1:13" x14ac:dyDescent="0.25">
      <c r="A536" s="1"/>
      <c r="J536" s="1"/>
      <c r="K536" s="6"/>
      <c r="L536" s="5"/>
      <c r="M536" s="5"/>
    </row>
    <row r="537" spans="1:13" x14ac:dyDescent="0.25">
      <c r="A537" s="1"/>
      <c r="J537" s="1"/>
      <c r="K537" s="6"/>
      <c r="L537" s="5"/>
      <c r="M537" s="5"/>
    </row>
    <row r="538" spans="1:13" x14ac:dyDescent="0.25">
      <c r="A538" s="1"/>
      <c r="J538" s="1"/>
      <c r="K538" s="6"/>
      <c r="L538" s="5"/>
      <c r="M538" s="5"/>
    </row>
    <row r="539" spans="1:13" x14ac:dyDescent="0.25">
      <c r="A539" s="1"/>
      <c r="J539" s="1"/>
      <c r="K539" s="6"/>
      <c r="L539" s="5"/>
      <c r="M539" s="5"/>
    </row>
    <row r="540" spans="1:13" x14ac:dyDescent="0.25">
      <c r="A540" s="1"/>
      <c r="J540" s="1"/>
      <c r="K540" s="6"/>
      <c r="L540" s="5"/>
      <c r="M540" s="5"/>
    </row>
    <row r="541" spans="1:13" x14ac:dyDescent="0.25">
      <c r="A541" s="1"/>
      <c r="J541" s="1"/>
      <c r="K541" s="6"/>
      <c r="L541" s="5"/>
      <c r="M541" s="5"/>
    </row>
    <row r="542" spans="1:13" x14ac:dyDescent="0.25">
      <c r="A542" s="1"/>
      <c r="J542" s="1"/>
      <c r="K542" s="6"/>
      <c r="L542" s="5"/>
      <c r="M542" s="5"/>
    </row>
    <row r="543" spans="1:13" x14ac:dyDescent="0.25">
      <c r="A543" s="1"/>
      <c r="J543" s="1"/>
      <c r="K543" s="6"/>
      <c r="L543" s="5"/>
      <c r="M543" s="5"/>
    </row>
    <row r="544" spans="1:13" x14ac:dyDescent="0.25">
      <c r="A544" s="1"/>
      <c r="J544" s="1"/>
      <c r="K544" s="6"/>
      <c r="L544" s="5"/>
      <c r="M544" s="5"/>
    </row>
    <row r="545" spans="1:13" x14ac:dyDescent="0.25">
      <c r="A545" s="1"/>
      <c r="J545" s="1"/>
      <c r="K545" s="6"/>
      <c r="L545" s="5"/>
      <c r="M545" s="5"/>
    </row>
    <row r="546" spans="1:13" x14ac:dyDescent="0.25">
      <c r="A546" s="1"/>
      <c r="J546" s="1"/>
      <c r="K546" s="6"/>
      <c r="L546" s="5"/>
      <c r="M546" s="5"/>
    </row>
    <row r="547" spans="1:13" x14ac:dyDescent="0.25">
      <c r="A547" s="1"/>
      <c r="J547" s="1"/>
      <c r="K547" s="6"/>
      <c r="L547" s="5"/>
      <c r="M547" s="5"/>
    </row>
    <row r="548" spans="1:13" x14ac:dyDescent="0.25">
      <c r="A548" s="1"/>
      <c r="J548" s="1"/>
      <c r="K548" s="6"/>
      <c r="L548" s="5"/>
      <c r="M548" s="5"/>
    </row>
    <row r="549" spans="1:13" x14ac:dyDescent="0.25">
      <c r="A549" s="1"/>
      <c r="J549" s="1"/>
      <c r="K549" s="6"/>
      <c r="L549" s="5"/>
      <c r="M549" s="5"/>
    </row>
    <row r="550" spans="1:13" x14ac:dyDescent="0.25">
      <c r="A550" s="1"/>
      <c r="J550" s="1"/>
      <c r="K550" s="6"/>
      <c r="L550" s="5"/>
      <c r="M550" s="5"/>
    </row>
    <row r="551" spans="1:13" x14ac:dyDescent="0.25">
      <c r="A551" s="1"/>
      <c r="J551" s="1"/>
      <c r="K551" s="6"/>
      <c r="L551" s="5"/>
      <c r="M551" s="5"/>
    </row>
    <row r="552" spans="1:13" x14ac:dyDescent="0.25">
      <c r="A552" s="1"/>
      <c r="J552" s="1"/>
      <c r="K552" s="6"/>
      <c r="L552" s="5"/>
      <c r="M552" s="5"/>
    </row>
    <row r="553" spans="1:13" x14ac:dyDescent="0.25">
      <c r="A553" s="1"/>
      <c r="J553" s="1"/>
      <c r="K553" s="6"/>
      <c r="L553" s="5"/>
      <c r="M553" s="5"/>
    </row>
    <row r="554" spans="1:13" x14ac:dyDescent="0.25">
      <c r="A554" s="1"/>
      <c r="J554" s="1"/>
      <c r="K554" s="6"/>
      <c r="L554" s="5"/>
      <c r="M554" s="5"/>
    </row>
    <row r="555" spans="1:13" x14ac:dyDescent="0.25">
      <c r="A555" s="1"/>
      <c r="J555" s="1"/>
      <c r="K555" s="6"/>
      <c r="L555" s="5"/>
      <c r="M555" s="5"/>
    </row>
    <row r="556" spans="1:13" x14ac:dyDescent="0.25">
      <c r="A556" s="1"/>
      <c r="J556" s="1"/>
      <c r="K556" s="6"/>
      <c r="L556" s="5"/>
      <c r="M556" s="5"/>
    </row>
    <row r="557" spans="1:13" x14ac:dyDescent="0.25">
      <c r="A557" s="1"/>
      <c r="J557" s="1"/>
      <c r="K557" s="6"/>
      <c r="L557" s="5"/>
      <c r="M557" s="5"/>
    </row>
    <row r="558" spans="1:13" x14ac:dyDescent="0.25">
      <c r="A558" s="1"/>
      <c r="J558" s="1"/>
      <c r="K558" s="6"/>
      <c r="L558" s="5"/>
      <c r="M558" s="5"/>
    </row>
    <row r="559" spans="1:13" x14ac:dyDescent="0.25">
      <c r="A559" s="1"/>
      <c r="J559" s="1"/>
      <c r="K559" s="6"/>
      <c r="L559" s="5"/>
      <c r="M559" s="5"/>
    </row>
    <row r="560" spans="1:13" x14ac:dyDescent="0.25">
      <c r="A560" s="1"/>
      <c r="J560" s="1"/>
      <c r="K560" s="6"/>
      <c r="L560" s="5"/>
      <c r="M560" s="5"/>
    </row>
    <row r="561" spans="1:13" x14ac:dyDescent="0.25">
      <c r="A561" s="1"/>
      <c r="J561" s="1"/>
      <c r="K561" s="6"/>
      <c r="L561" s="5"/>
      <c r="M561" s="5"/>
    </row>
    <row r="562" spans="1:13" x14ac:dyDescent="0.25">
      <c r="A562" s="1"/>
      <c r="J562" s="1"/>
      <c r="K562" s="6"/>
      <c r="L562" s="5"/>
      <c r="M562" s="5"/>
    </row>
    <row r="563" spans="1:13" x14ac:dyDescent="0.25">
      <c r="A563" s="1"/>
      <c r="J563" s="1"/>
      <c r="K563" s="6"/>
      <c r="L563" s="5"/>
      <c r="M563" s="5"/>
    </row>
    <row r="564" spans="1:13" x14ac:dyDescent="0.25">
      <c r="A564" s="1"/>
      <c r="J564" s="1"/>
      <c r="K564" s="6"/>
      <c r="L564" s="5"/>
      <c r="M564" s="5"/>
    </row>
    <row r="565" spans="1:13" x14ac:dyDescent="0.25">
      <c r="A565" s="1"/>
      <c r="J565" s="1"/>
      <c r="K565" s="6"/>
      <c r="L565" s="5"/>
      <c r="M565" s="5"/>
    </row>
    <row r="566" spans="1:13" x14ac:dyDescent="0.25">
      <c r="A566" s="1"/>
      <c r="J566" s="1"/>
      <c r="K566" s="6"/>
      <c r="L566" s="5"/>
      <c r="M566" s="5"/>
    </row>
    <row r="567" spans="1:13" x14ac:dyDescent="0.25">
      <c r="A567" s="1"/>
      <c r="J567" s="1"/>
      <c r="K567" s="6"/>
      <c r="L567" s="5"/>
      <c r="M567" s="5"/>
    </row>
    <row r="568" spans="1:13" x14ac:dyDescent="0.25">
      <c r="A568" s="1"/>
      <c r="J568" s="1"/>
      <c r="K568" s="6"/>
      <c r="L568" s="5"/>
      <c r="M568" s="5"/>
    </row>
    <row r="569" spans="1:13" x14ac:dyDescent="0.25">
      <c r="A569" s="1"/>
      <c r="J569" s="1"/>
      <c r="K569" s="6"/>
      <c r="L569" s="5"/>
      <c r="M569" s="5"/>
    </row>
    <row r="570" spans="1:13" x14ac:dyDescent="0.25">
      <c r="A570" s="1"/>
      <c r="J570" s="1"/>
      <c r="K570" s="6"/>
      <c r="L570" s="5"/>
      <c r="M570" s="5"/>
    </row>
    <row r="571" spans="1:13" x14ac:dyDescent="0.25">
      <c r="A571" s="1"/>
      <c r="J571" s="1"/>
      <c r="K571" s="6"/>
      <c r="L571" s="5"/>
      <c r="M571" s="5"/>
    </row>
    <row r="572" spans="1:13" x14ac:dyDescent="0.25">
      <c r="A572" s="1"/>
      <c r="J572" s="1"/>
      <c r="K572" s="6"/>
      <c r="L572" s="5"/>
      <c r="M572" s="5"/>
    </row>
    <row r="573" spans="1:13" x14ac:dyDescent="0.25">
      <c r="A573" s="1"/>
      <c r="J573" s="1"/>
      <c r="K573" s="6"/>
      <c r="L573" s="5"/>
      <c r="M573" s="5"/>
    </row>
    <row r="574" spans="1:13" x14ac:dyDescent="0.25">
      <c r="A574" s="1"/>
      <c r="J574" s="1"/>
      <c r="K574" s="6"/>
      <c r="L574" s="5"/>
      <c r="M574" s="5"/>
    </row>
    <row r="575" spans="1:13" x14ac:dyDescent="0.25">
      <c r="A575" s="1"/>
      <c r="J575" s="1"/>
      <c r="K575" s="6"/>
      <c r="L575" s="5"/>
      <c r="M575" s="5"/>
    </row>
    <row r="576" spans="1:13" x14ac:dyDescent="0.25">
      <c r="A576" s="1"/>
      <c r="J576" s="1"/>
      <c r="K576" s="6"/>
      <c r="L576" s="5"/>
      <c r="M576" s="5"/>
    </row>
    <row r="577" spans="1:13" x14ac:dyDescent="0.25">
      <c r="A577" s="1"/>
      <c r="J577" s="1"/>
      <c r="K577" s="6"/>
      <c r="L577" s="5"/>
      <c r="M577" s="5"/>
    </row>
    <row r="578" spans="1:13" x14ac:dyDescent="0.25">
      <c r="A578" s="1"/>
      <c r="J578" s="1"/>
      <c r="K578" s="6"/>
      <c r="L578" s="5"/>
      <c r="M578" s="5"/>
    </row>
    <row r="579" spans="1:13" x14ac:dyDescent="0.25">
      <c r="A579" s="1"/>
      <c r="J579" s="1"/>
      <c r="K579" s="6"/>
      <c r="L579" s="5"/>
      <c r="M579" s="5"/>
    </row>
    <row r="580" spans="1:13" x14ac:dyDescent="0.25">
      <c r="A580" s="1"/>
      <c r="J580" s="1"/>
      <c r="K580" s="6"/>
      <c r="L580" s="5"/>
      <c r="M580" s="5"/>
    </row>
    <row r="581" spans="1:13" x14ac:dyDescent="0.25">
      <c r="A581" s="1"/>
      <c r="J581" s="1"/>
      <c r="K581" s="6"/>
      <c r="L581" s="5"/>
      <c r="M581" s="5"/>
    </row>
    <row r="582" spans="1:13" x14ac:dyDescent="0.25">
      <c r="A582" s="1"/>
      <c r="J582" s="1"/>
      <c r="K582" s="6"/>
      <c r="L582" s="5"/>
      <c r="M582" s="5"/>
    </row>
    <row r="583" spans="1:13" x14ac:dyDescent="0.25">
      <c r="A583" s="1"/>
      <c r="J583" s="1"/>
      <c r="K583" s="6"/>
      <c r="L583" s="5"/>
      <c r="M583" s="5"/>
    </row>
    <row r="584" spans="1:13" x14ac:dyDescent="0.25">
      <c r="A584" s="1"/>
      <c r="J584" s="1"/>
      <c r="K584" s="6"/>
      <c r="L584" s="5"/>
      <c r="M584" s="5"/>
    </row>
    <row r="585" spans="1:13" x14ac:dyDescent="0.25">
      <c r="A585" s="1"/>
      <c r="J585" s="1"/>
      <c r="K585" s="6"/>
      <c r="L585" s="5"/>
      <c r="M585" s="5"/>
    </row>
    <row r="586" spans="1:13" x14ac:dyDescent="0.25">
      <c r="A586" s="1"/>
      <c r="J586" s="1"/>
      <c r="K586" s="6"/>
      <c r="L586" s="5"/>
      <c r="M586" s="5"/>
    </row>
    <row r="587" spans="1:13" x14ac:dyDescent="0.25">
      <c r="A587" s="1"/>
      <c r="J587" s="1"/>
      <c r="K587" s="6"/>
      <c r="L587" s="5"/>
      <c r="M587" s="5"/>
    </row>
    <row r="588" spans="1:13" x14ac:dyDescent="0.25">
      <c r="A588" s="1"/>
      <c r="J588" s="1"/>
      <c r="K588" s="6"/>
      <c r="L588" s="5"/>
      <c r="M588" s="5"/>
    </row>
    <row r="589" spans="1:13" x14ac:dyDescent="0.25">
      <c r="A589" s="1"/>
      <c r="J589" s="1"/>
      <c r="K589" s="6"/>
      <c r="L589" s="5"/>
      <c r="M589" s="5"/>
    </row>
    <row r="590" spans="1:13" x14ac:dyDescent="0.25">
      <c r="A590" s="1"/>
      <c r="J590" s="1"/>
      <c r="K590" s="6"/>
      <c r="L590" s="5"/>
      <c r="M590" s="5"/>
    </row>
    <row r="591" spans="1:13" x14ac:dyDescent="0.25">
      <c r="A591" s="1"/>
      <c r="J591" s="1"/>
      <c r="K591" s="6"/>
      <c r="L591" s="5"/>
      <c r="M591" s="5"/>
    </row>
    <row r="592" spans="1:13" x14ac:dyDescent="0.25">
      <c r="A592" s="1"/>
      <c r="J592" s="1"/>
      <c r="K592" s="6"/>
      <c r="L592" s="5"/>
      <c r="M592" s="5"/>
    </row>
    <row r="593" spans="1:13" x14ac:dyDescent="0.25">
      <c r="A593" s="1"/>
      <c r="J593" s="1"/>
      <c r="K593" s="6"/>
      <c r="L593" s="5"/>
      <c r="M593" s="5"/>
    </row>
    <row r="594" spans="1:13" x14ac:dyDescent="0.25">
      <c r="A594" s="1"/>
      <c r="J594" s="1"/>
      <c r="K594" s="6"/>
      <c r="L594" s="5"/>
      <c r="M594" s="5"/>
    </row>
    <row r="595" spans="1:13" x14ac:dyDescent="0.25">
      <c r="A595" s="1"/>
      <c r="J595" s="1"/>
      <c r="K595" s="6"/>
      <c r="L595" s="5"/>
      <c r="M595" s="5"/>
    </row>
    <row r="596" spans="1:13" x14ac:dyDescent="0.25">
      <c r="A596" s="1"/>
      <c r="J596" s="1"/>
      <c r="K596" s="6"/>
      <c r="L596" s="5"/>
      <c r="M596" s="5"/>
    </row>
    <row r="597" spans="1:13" x14ac:dyDescent="0.25">
      <c r="A597" s="1"/>
      <c r="J597" s="1"/>
      <c r="K597" s="6"/>
      <c r="L597" s="5"/>
      <c r="M597" s="5"/>
    </row>
    <row r="598" spans="1:13" x14ac:dyDescent="0.25">
      <c r="A598" s="1"/>
      <c r="J598" s="1"/>
      <c r="K598" s="6"/>
      <c r="L598" s="5"/>
      <c r="M598" s="5"/>
    </row>
    <row r="599" spans="1:13" x14ac:dyDescent="0.25">
      <c r="A599" s="1"/>
      <c r="J599" s="1"/>
      <c r="K599" s="6"/>
      <c r="L599" s="5"/>
      <c r="M599" s="5"/>
    </row>
    <row r="600" spans="1:13" x14ac:dyDescent="0.25">
      <c r="A600" s="1"/>
      <c r="J600" s="1"/>
      <c r="K600" s="6"/>
      <c r="L600" s="5"/>
      <c r="M600" s="5"/>
    </row>
    <row r="601" spans="1:13" x14ac:dyDescent="0.25">
      <c r="A601" s="1"/>
      <c r="J601" s="1"/>
      <c r="K601" s="6"/>
      <c r="L601" s="5"/>
      <c r="M601" s="5"/>
    </row>
    <row r="602" spans="1:13" x14ac:dyDescent="0.25">
      <c r="A602" s="1"/>
      <c r="J602" s="1"/>
      <c r="K602" s="6"/>
      <c r="L602" s="5"/>
      <c r="M602" s="5"/>
    </row>
    <row r="603" spans="1:13" x14ac:dyDescent="0.25">
      <c r="A603" s="1"/>
      <c r="J603" s="1"/>
      <c r="K603" s="6"/>
      <c r="L603" s="5"/>
      <c r="M603" s="5"/>
    </row>
    <row r="604" spans="1:13" x14ac:dyDescent="0.25">
      <c r="A604" s="1"/>
      <c r="J604" s="1"/>
      <c r="K604" s="6"/>
      <c r="L604" s="5"/>
      <c r="M604" s="5"/>
    </row>
    <row r="605" spans="1:13" x14ac:dyDescent="0.25">
      <c r="A605" s="1"/>
      <c r="J605" s="1"/>
      <c r="K605" s="6"/>
      <c r="L605" s="5"/>
      <c r="M605" s="5"/>
    </row>
    <row r="606" spans="1:13" x14ac:dyDescent="0.25">
      <c r="A606" s="1"/>
      <c r="J606" s="1"/>
      <c r="K606" s="6"/>
      <c r="L606" s="5"/>
      <c r="M606" s="5"/>
    </row>
    <row r="607" spans="1:13" x14ac:dyDescent="0.25">
      <c r="A607" s="1"/>
      <c r="J607" s="1"/>
      <c r="K607" s="6"/>
      <c r="L607" s="5"/>
      <c r="M607" s="5"/>
    </row>
    <row r="608" spans="1:13" x14ac:dyDescent="0.25">
      <c r="A608" s="1"/>
      <c r="J608" s="1"/>
      <c r="K608" s="6"/>
      <c r="L608" s="5"/>
      <c r="M608" s="5"/>
    </row>
    <row r="609" spans="1:13" x14ac:dyDescent="0.25">
      <c r="A609" s="1"/>
      <c r="J609" s="1"/>
      <c r="K609" s="6"/>
      <c r="L609" s="5"/>
      <c r="M609" s="5"/>
    </row>
    <row r="610" spans="1:13" x14ac:dyDescent="0.25">
      <c r="A610" s="1"/>
      <c r="J610" s="1"/>
      <c r="K610" s="6"/>
      <c r="L610" s="5"/>
      <c r="M610" s="5"/>
    </row>
    <row r="611" spans="1:13" x14ac:dyDescent="0.25">
      <c r="A611" s="1"/>
      <c r="J611" s="1"/>
      <c r="K611" s="6"/>
      <c r="L611" s="5"/>
      <c r="M611" s="5"/>
    </row>
    <row r="612" spans="1:13" x14ac:dyDescent="0.25">
      <c r="A612" s="1"/>
      <c r="J612" s="1"/>
      <c r="K612" s="6"/>
      <c r="L612" s="5"/>
      <c r="M612" s="5"/>
    </row>
    <row r="613" spans="1:13" x14ac:dyDescent="0.25">
      <c r="A613" s="1"/>
      <c r="J613" s="1"/>
      <c r="K613" s="6"/>
      <c r="L613" s="5"/>
      <c r="M613" s="5"/>
    </row>
    <row r="614" spans="1:13" x14ac:dyDescent="0.25">
      <c r="A614" s="1"/>
      <c r="J614" s="1"/>
      <c r="K614" s="6"/>
      <c r="L614" s="5"/>
      <c r="M614" s="5"/>
    </row>
    <row r="615" spans="1:13" x14ac:dyDescent="0.25">
      <c r="A615" s="1"/>
      <c r="J615" s="1"/>
      <c r="K615" s="6"/>
      <c r="L615" s="5"/>
      <c r="M615" s="5"/>
    </row>
    <row r="616" spans="1:13" x14ac:dyDescent="0.25">
      <c r="A616" s="1"/>
      <c r="J616" s="1"/>
      <c r="K616" s="6"/>
      <c r="L616" s="5"/>
      <c r="M616" s="5"/>
    </row>
    <row r="617" spans="1:13" x14ac:dyDescent="0.25">
      <c r="A617" s="1"/>
      <c r="J617" s="1"/>
      <c r="K617" s="6"/>
      <c r="L617" s="5"/>
      <c r="M617" s="5"/>
    </row>
    <row r="618" spans="1:13" x14ac:dyDescent="0.25">
      <c r="A618" s="1"/>
      <c r="J618" s="1"/>
      <c r="K618" s="6"/>
      <c r="L618" s="5"/>
      <c r="M618" s="5"/>
    </row>
    <row r="619" spans="1:13" x14ac:dyDescent="0.25">
      <c r="A619" s="1"/>
      <c r="J619" s="1"/>
      <c r="K619" s="6"/>
      <c r="L619" s="5"/>
      <c r="M619" s="5"/>
    </row>
    <row r="620" spans="1:13" x14ac:dyDescent="0.25">
      <c r="A620" s="1"/>
      <c r="J620" s="1"/>
      <c r="K620" s="6"/>
      <c r="L620" s="5"/>
      <c r="M620" s="5"/>
    </row>
    <row r="621" spans="1:13" x14ac:dyDescent="0.25">
      <c r="A621" s="1"/>
      <c r="J621" s="1"/>
      <c r="K621" s="6"/>
      <c r="L621" s="5"/>
      <c r="M621" s="5"/>
    </row>
    <row r="622" spans="1:13" x14ac:dyDescent="0.25">
      <c r="A622" s="1"/>
      <c r="J622" s="1"/>
      <c r="K622" s="6"/>
      <c r="L622" s="5"/>
      <c r="M622" s="5"/>
    </row>
    <row r="623" spans="1:13" x14ac:dyDescent="0.25">
      <c r="A623" s="1"/>
      <c r="J623" s="1"/>
      <c r="K623" s="6"/>
      <c r="L623" s="5"/>
      <c r="M623" s="5"/>
    </row>
    <row r="624" spans="1:13" x14ac:dyDescent="0.25">
      <c r="A624" s="1"/>
      <c r="J624" s="1"/>
      <c r="K624" s="6"/>
      <c r="L624" s="5"/>
      <c r="M624" s="5"/>
    </row>
    <row r="625" spans="1:13" x14ac:dyDescent="0.25">
      <c r="A625" s="1"/>
      <c r="J625" s="1"/>
      <c r="K625" s="6"/>
      <c r="L625" s="5"/>
      <c r="M625" s="5"/>
    </row>
    <row r="626" spans="1:13" x14ac:dyDescent="0.25">
      <c r="A626" s="1"/>
      <c r="J626" s="1"/>
      <c r="K626" s="6"/>
      <c r="L626" s="5"/>
      <c r="M626" s="5"/>
    </row>
    <row r="627" spans="1:13" x14ac:dyDescent="0.25">
      <c r="A627" s="1"/>
      <c r="J627" s="1"/>
      <c r="K627" s="6"/>
      <c r="L627" s="5"/>
      <c r="M627" s="5"/>
    </row>
    <row r="628" spans="1:13" x14ac:dyDescent="0.25">
      <c r="A628" s="1"/>
      <c r="J628" s="1"/>
      <c r="K628" s="6"/>
      <c r="L628" s="5"/>
      <c r="M628" s="5"/>
    </row>
    <row r="629" spans="1:13" x14ac:dyDescent="0.25">
      <c r="A629" s="1"/>
      <c r="J629" s="1"/>
      <c r="K629" s="6"/>
      <c r="L629" s="5"/>
      <c r="M629" s="5"/>
    </row>
    <row r="630" spans="1:13" x14ac:dyDescent="0.25">
      <c r="A630" s="1"/>
      <c r="J630" s="1"/>
      <c r="K630" s="6"/>
      <c r="L630" s="5"/>
      <c r="M630" s="5"/>
    </row>
    <row r="631" spans="1:13" x14ac:dyDescent="0.25">
      <c r="A631" s="1"/>
      <c r="J631" s="1"/>
      <c r="K631" s="6"/>
      <c r="L631" s="5"/>
      <c r="M631" s="5"/>
    </row>
    <row r="632" spans="1:13" x14ac:dyDescent="0.25">
      <c r="A632" s="1"/>
      <c r="J632" s="1"/>
      <c r="K632" s="6"/>
      <c r="L632" s="5"/>
      <c r="M632" s="5"/>
    </row>
    <row r="633" spans="1:13" x14ac:dyDescent="0.25">
      <c r="A633" s="1"/>
      <c r="J633" s="1"/>
      <c r="K633" s="6"/>
      <c r="L633" s="5"/>
      <c r="M633" s="5"/>
    </row>
    <row r="634" spans="1:13" x14ac:dyDescent="0.25">
      <c r="A634" s="1"/>
      <c r="J634" s="1"/>
      <c r="K634" s="6"/>
      <c r="L634" s="5"/>
      <c r="M634" s="5"/>
    </row>
    <row r="635" spans="1:13" x14ac:dyDescent="0.25">
      <c r="A635" s="1"/>
      <c r="J635" s="1"/>
      <c r="K635" s="6"/>
      <c r="L635" s="5"/>
      <c r="M635" s="5"/>
    </row>
    <row r="636" spans="1:13" x14ac:dyDescent="0.25">
      <c r="A636" s="1"/>
      <c r="J636" s="1"/>
      <c r="K636" s="6"/>
      <c r="L636" s="5"/>
      <c r="M636" s="5"/>
    </row>
    <row r="637" spans="1:13" x14ac:dyDescent="0.25">
      <c r="A637" s="1"/>
      <c r="J637" s="1"/>
      <c r="K637" s="6"/>
      <c r="L637" s="5"/>
      <c r="M637" s="5"/>
    </row>
    <row r="638" spans="1:13" x14ac:dyDescent="0.25">
      <c r="A638" s="1"/>
      <c r="J638" s="1"/>
      <c r="K638" s="6"/>
      <c r="L638" s="5"/>
      <c r="M638" s="5"/>
    </row>
    <row r="639" spans="1:13" x14ac:dyDescent="0.25">
      <c r="A639" s="1"/>
      <c r="J639" s="1"/>
      <c r="K639" s="6"/>
      <c r="L639" s="5"/>
      <c r="M639" s="5"/>
    </row>
    <row r="640" spans="1:13" x14ac:dyDescent="0.25">
      <c r="A640" s="1"/>
      <c r="J640" s="1"/>
      <c r="K640" s="6"/>
      <c r="L640" s="5"/>
      <c r="M640" s="5"/>
    </row>
    <row r="641" spans="1:13" x14ac:dyDescent="0.25">
      <c r="A641" s="1"/>
      <c r="J641" s="1"/>
      <c r="K641" s="6"/>
      <c r="L641" s="5"/>
      <c r="M641" s="5"/>
    </row>
    <row r="642" spans="1:13" x14ac:dyDescent="0.25">
      <c r="A642" s="1"/>
      <c r="J642" s="1"/>
      <c r="K642" s="6"/>
      <c r="L642" s="5"/>
      <c r="M642" s="5"/>
    </row>
    <row r="643" spans="1:13" x14ac:dyDescent="0.25">
      <c r="A643" s="1"/>
      <c r="J643" s="1"/>
      <c r="K643" s="6"/>
      <c r="L643" s="5"/>
      <c r="M643" s="5"/>
    </row>
    <row r="644" spans="1:13" x14ac:dyDescent="0.25">
      <c r="A644" s="1"/>
      <c r="J644" s="1"/>
      <c r="K644" s="6"/>
      <c r="L644" s="5"/>
      <c r="M644" s="5"/>
    </row>
    <row r="645" spans="1:13" x14ac:dyDescent="0.25">
      <c r="A645" s="1"/>
      <c r="J645" s="1"/>
      <c r="K645" s="6"/>
      <c r="L645" s="5"/>
      <c r="M645" s="5"/>
    </row>
    <row r="646" spans="1:13" x14ac:dyDescent="0.25">
      <c r="A646" s="1"/>
      <c r="J646" s="1"/>
      <c r="K646" s="6"/>
      <c r="L646" s="5"/>
      <c r="M646" s="5"/>
    </row>
    <row r="647" spans="1:13" x14ac:dyDescent="0.25">
      <c r="A647" s="1"/>
      <c r="J647" s="1"/>
      <c r="K647" s="6"/>
      <c r="L647" s="5"/>
      <c r="M647" s="5"/>
    </row>
    <row r="648" spans="1:13" x14ac:dyDescent="0.25">
      <c r="A648" s="1"/>
      <c r="J648" s="1"/>
      <c r="K648" s="6"/>
      <c r="L648" s="5"/>
      <c r="M648" s="5"/>
    </row>
    <row r="649" spans="1:13" x14ac:dyDescent="0.25">
      <c r="A649" s="1"/>
      <c r="J649" s="1"/>
      <c r="K649" s="6"/>
      <c r="L649" s="5"/>
      <c r="M649" s="5"/>
    </row>
    <row r="650" spans="1:13" x14ac:dyDescent="0.25">
      <c r="A650" s="1"/>
      <c r="J650" s="1"/>
      <c r="K650" s="6"/>
      <c r="L650" s="5"/>
      <c r="M650" s="5"/>
    </row>
    <row r="651" spans="1:13" x14ac:dyDescent="0.25">
      <c r="A651" s="1"/>
      <c r="J651" s="1"/>
      <c r="K651" s="6"/>
      <c r="L651" s="5"/>
      <c r="M651" s="5"/>
    </row>
    <row r="652" spans="1:13" x14ac:dyDescent="0.25">
      <c r="A652" s="1"/>
      <c r="J652" s="1"/>
      <c r="K652" s="6"/>
      <c r="L652" s="5"/>
      <c r="M652" s="5"/>
    </row>
    <row r="653" spans="1:13" x14ac:dyDescent="0.25">
      <c r="A653" s="1"/>
      <c r="J653" s="1"/>
      <c r="K653" s="6"/>
      <c r="L653" s="5"/>
      <c r="M653" s="5"/>
    </row>
    <row r="654" spans="1:13" x14ac:dyDescent="0.25">
      <c r="A654" s="1"/>
      <c r="J654" s="1"/>
      <c r="K654" s="6"/>
      <c r="L654" s="5"/>
      <c r="M654" s="5"/>
    </row>
    <row r="655" spans="1:13" x14ac:dyDescent="0.25">
      <c r="A655" s="1"/>
      <c r="J655" s="1"/>
      <c r="K655" s="6"/>
      <c r="L655" s="5"/>
      <c r="M655" s="5"/>
    </row>
    <row r="656" spans="1:13" x14ac:dyDescent="0.25">
      <c r="A656" s="1"/>
      <c r="J656" s="1"/>
      <c r="K656" s="6"/>
      <c r="L656" s="5"/>
      <c r="M656" s="5"/>
    </row>
    <row r="657" spans="1:13" x14ac:dyDescent="0.25">
      <c r="A657" s="1"/>
      <c r="J657" s="1"/>
      <c r="K657" s="6"/>
      <c r="L657" s="5"/>
      <c r="M657" s="5"/>
    </row>
    <row r="658" spans="1:13" x14ac:dyDescent="0.25">
      <c r="A658" s="1"/>
      <c r="J658" s="1"/>
      <c r="K658" s="6"/>
      <c r="L658" s="5"/>
      <c r="M658" s="5"/>
    </row>
    <row r="659" spans="1:13" x14ac:dyDescent="0.25">
      <c r="A659" s="1"/>
      <c r="J659" s="1"/>
      <c r="K659" s="6"/>
      <c r="L659" s="5"/>
      <c r="M659" s="5"/>
    </row>
    <row r="660" spans="1:13" x14ac:dyDescent="0.25">
      <c r="A660" s="1"/>
      <c r="J660" s="1"/>
      <c r="K660" s="6"/>
      <c r="L660" s="5"/>
      <c r="M660" s="5"/>
    </row>
    <row r="661" spans="1:13" x14ac:dyDescent="0.25">
      <c r="A661" s="1"/>
      <c r="J661" s="1"/>
      <c r="K661" s="6"/>
      <c r="L661" s="5"/>
      <c r="M661" s="5"/>
    </row>
    <row r="662" spans="1:13" x14ac:dyDescent="0.25">
      <c r="A662" s="1"/>
      <c r="J662" s="1"/>
      <c r="K662" s="6"/>
      <c r="L662" s="5"/>
      <c r="M662" s="5"/>
    </row>
    <row r="663" spans="1:13" x14ac:dyDescent="0.25">
      <c r="A663" s="1"/>
      <c r="J663" s="1"/>
      <c r="K663" s="6"/>
      <c r="L663" s="5"/>
      <c r="M663" s="5"/>
    </row>
    <row r="664" spans="1:13" x14ac:dyDescent="0.25">
      <c r="A664" s="1"/>
      <c r="J664" s="1"/>
      <c r="K664" s="6"/>
      <c r="L664" s="5"/>
      <c r="M664" s="5"/>
    </row>
    <row r="665" spans="1:13" x14ac:dyDescent="0.25">
      <c r="A665" s="1"/>
      <c r="J665" s="1"/>
      <c r="K665" s="6"/>
      <c r="L665" s="5"/>
      <c r="M665" s="5"/>
    </row>
    <row r="666" spans="1:13" x14ac:dyDescent="0.25">
      <c r="A666" s="1"/>
      <c r="J666" s="1"/>
      <c r="K666" s="6"/>
      <c r="L666" s="5"/>
      <c r="M666" s="5"/>
    </row>
    <row r="667" spans="1:13" x14ac:dyDescent="0.25">
      <c r="A667" s="1"/>
      <c r="J667" s="1"/>
      <c r="K667" s="6"/>
      <c r="L667" s="5"/>
      <c r="M667" s="5"/>
    </row>
    <row r="668" spans="1:13" x14ac:dyDescent="0.25">
      <c r="A668" s="1"/>
      <c r="J668" s="1"/>
      <c r="K668" s="6"/>
      <c r="L668" s="5"/>
      <c r="M668" s="5"/>
    </row>
    <row r="669" spans="1:13" x14ac:dyDescent="0.25">
      <c r="A669" s="1"/>
      <c r="J669" s="1"/>
      <c r="K669" s="6"/>
      <c r="L669" s="5"/>
      <c r="M669" s="5"/>
    </row>
    <row r="670" spans="1:13" x14ac:dyDescent="0.25">
      <c r="A670" s="1"/>
      <c r="J670" s="1"/>
      <c r="K670" s="6"/>
      <c r="L670" s="5"/>
      <c r="M670" s="5"/>
    </row>
    <row r="671" spans="1:13" x14ac:dyDescent="0.25">
      <c r="A671" s="1"/>
      <c r="J671" s="1"/>
      <c r="K671" s="6"/>
      <c r="L671" s="5"/>
      <c r="M671" s="5"/>
    </row>
    <row r="672" spans="1:13" x14ac:dyDescent="0.25">
      <c r="A672" s="1"/>
      <c r="J672" s="1"/>
      <c r="K672" s="6"/>
      <c r="L672" s="5"/>
      <c r="M672" s="5"/>
    </row>
    <row r="673" spans="1:13" x14ac:dyDescent="0.25">
      <c r="A673" s="1"/>
      <c r="J673" s="1"/>
      <c r="K673" s="6"/>
      <c r="L673" s="5"/>
      <c r="M673" s="5"/>
    </row>
    <row r="674" spans="1:13" x14ac:dyDescent="0.25">
      <c r="A674" s="1"/>
      <c r="J674" s="1"/>
      <c r="K674" s="6"/>
      <c r="L674" s="5"/>
      <c r="M674" s="5"/>
    </row>
    <row r="675" spans="1:13" x14ac:dyDescent="0.25">
      <c r="A675" s="1"/>
      <c r="J675" s="1"/>
      <c r="K675" s="6"/>
      <c r="L675" s="5"/>
      <c r="M675" s="5"/>
    </row>
    <row r="676" spans="1:13" x14ac:dyDescent="0.25">
      <c r="A676" s="1"/>
      <c r="J676" s="1"/>
      <c r="K676" s="6"/>
      <c r="L676" s="5"/>
      <c r="M676" s="5"/>
    </row>
    <row r="677" spans="1:13" x14ac:dyDescent="0.25">
      <c r="A677" s="1"/>
      <c r="J677" s="1"/>
      <c r="K677" s="6"/>
      <c r="L677" s="5"/>
      <c r="M677" s="5"/>
    </row>
    <row r="678" spans="1:13" x14ac:dyDescent="0.25">
      <c r="A678" s="1"/>
      <c r="J678" s="1"/>
      <c r="K678" s="6"/>
      <c r="L678" s="5"/>
      <c r="M678" s="5"/>
    </row>
    <row r="679" spans="1:13" x14ac:dyDescent="0.25">
      <c r="A679" s="1"/>
      <c r="J679" s="1"/>
      <c r="K679" s="6"/>
      <c r="L679" s="5"/>
      <c r="M679" s="5"/>
    </row>
    <row r="680" spans="1:13" x14ac:dyDescent="0.25">
      <c r="A680" s="1"/>
      <c r="J680" s="1"/>
      <c r="K680" s="6"/>
      <c r="L680" s="5"/>
      <c r="M680" s="5"/>
    </row>
    <row r="681" spans="1:13" x14ac:dyDescent="0.25">
      <c r="A681" s="1"/>
      <c r="J681" s="1"/>
      <c r="K681" s="6"/>
      <c r="L681" s="5"/>
      <c r="M681" s="5"/>
    </row>
    <row r="682" spans="1:13" x14ac:dyDescent="0.25">
      <c r="A682" s="1"/>
      <c r="J682" s="1"/>
      <c r="K682" s="6"/>
      <c r="L682" s="5"/>
      <c r="M682" s="5"/>
    </row>
    <row r="683" spans="1:13" x14ac:dyDescent="0.25">
      <c r="A683" s="1"/>
      <c r="J683" s="1"/>
      <c r="K683" s="6"/>
      <c r="L683" s="5"/>
      <c r="M683" s="5"/>
    </row>
    <row r="684" spans="1:13" x14ac:dyDescent="0.25">
      <c r="A684" s="1"/>
      <c r="J684" s="1"/>
      <c r="K684" s="6"/>
      <c r="L684" s="5"/>
      <c r="M684" s="5"/>
    </row>
    <row r="685" spans="1:13" x14ac:dyDescent="0.25">
      <c r="A685" s="1"/>
      <c r="J685" s="1"/>
      <c r="K685" s="6"/>
      <c r="L685" s="5"/>
      <c r="M685" s="5"/>
    </row>
    <row r="686" spans="1:13" x14ac:dyDescent="0.25">
      <c r="A686" s="1"/>
      <c r="J686" s="1"/>
      <c r="K686" s="6"/>
      <c r="L686" s="5"/>
      <c r="M686" s="5"/>
    </row>
    <row r="687" spans="1:13" x14ac:dyDescent="0.25">
      <c r="A687" s="1"/>
      <c r="J687" s="1"/>
      <c r="K687" s="6"/>
      <c r="L687" s="5"/>
      <c r="M687" s="5"/>
    </row>
    <row r="688" spans="1:13" x14ac:dyDescent="0.25">
      <c r="A688" s="1"/>
      <c r="J688" s="1"/>
      <c r="K688" s="6"/>
      <c r="L688" s="5"/>
      <c r="M688" s="5"/>
    </row>
    <row r="689" spans="1:13" x14ac:dyDescent="0.25">
      <c r="A689" s="1"/>
      <c r="J689" s="1"/>
      <c r="K689" s="6"/>
      <c r="L689" s="5"/>
      <c r="M689" s="5"/>
    </row>
    <row r="690" spans="1:13" x14ac:dyDescent="0.25">
      <c r="A690" s="1"/>
      <c r="J690" s="1"/>
      <c r="K690" s="6"/>
      <c r="L690" s="5"/>
      <c r="M690" s="5"/>
    </row>
    <row r="691" spans="1:13" x14ac:dyDescent="0.25">
      <c r="A691" s="1"/>
      <c r="J691" s="1"/>
      <c r="K691" s="6"/>
      <c r="L691" s="5"/>
      <c r="M691" s="5"/>
    </row>
    <row r="692" spans="1:13" x14ac:dyDescent="0.25">
      <c r="A692" s="1"/>
      <c r="J692" s="1"/>
      <c r="K692" s="6"/>
      <c r="L692" s="5"/>
      <c r="M692" s="5"/>
    </row>
    <row r="693" spans="1:13" x14ac:dyDescent="0.25">
      <c r="A693" s="1"/>
      <c r="J693" s="1"/>
      <c r="K693" s="6"/>
      <c r="L693" s="5"/>
      <c r="M693" s="5"/>
    </row>
    <row r="694" spans="1:13" x14ac:dyDescent="0.25">
      <c r="A694" s="1"/>
      <c r="J694" s="1"/>
      <c r="K694" s="6"/>
      <c r="L694" s="5"/>
      <c r="M694" s="5"/>
    </row>
    <row r="695" spans="1:13" x14ac:dyDescent="0.25">
      <c r="A695" s="1"/>
      <c r="J695" s="1"/>
      <c r="K695" s="6"/>
      <c r="L695" s="5"/>
      <c r="M695" s="5"/>
    </row>
    <row r="696" spans="1:13" x14ac:dyDescent="0.25">
      <c r="A696" s="1"/>
      <c r="J696" s="1"/>
      <c r="K696" s="6"/>
      <c r="L696" s="5"/>
      <c r="M696" s="5"/>
    </row>
    <row r="697" spans="1:13" x14ac:dyDescent="0.25">
      <c r="A697" s="1"/>
      <c r="J697" s="1"/>
      <c r="K697" s="6"/>
      <c r="L697" s="5"/>
      <c r="M697" s="5"/>
    </row>
    <row r="698" spans="1:13" x14ac:dyDescent="0.25">
      <c r="A698" s="1"/>
      <c r="J698" s="1"/>
      <c r="K698" s="6"/>
      <c r="L698" s="5"/>
      <c r="M698" s="5"/>
    </row>
    <row r="699" spans="1:13" x14ac:dyDescent="0.25">
      <c r="A699" s="1"/>
      <c r="J699" s="1"/>
      <c r="K699" s="6"/>
      <c r="L699" s="5"/>
      <c r="M699" s="5"/>
    </row>
    <row r="700" spans="1:13" x14ac:dyDescent="0.25">
      <c r="A700" s="1"/>
      <c r="J700" s="1"/>
      <c r="K700" s="6"/>
      <c r="L700" s="5"/>
      <c r="M700" s="5"/>
    </row>
    <row r="701" spans="1:13" x14ac:dyDescent="0.25">
      <c r="A701" s="1"/>
      <c r="J701" s="1"/>
      <c r="K701" s="6"/>
      <c r="L701" s="5"/>
      <c r="M701" s="5"/>
    </row>
    <row r="702" spans="1:13" x14ac:dyDescent="0.25">
      <c r="A702" s="1"/>
      <c r="J702" s="1"/>
      <c r="K702" s="6"/>
      <c r="L702" s="5"/>
      <c r="M702" s="5"/>
    </row>
    <row r="703" spans="1:13" x14ac:dyDescent="0.25">
      <c r="A703" s="1"/>
      <c r="J703" s="1"/>
      <c r="K703" s="6"/>
      <c r="L703" s="5"/>
      <c r="M703" s="5"/>
    </row>
    <row r="704" spans="1:13" x14ac:dyDescent="0.25">
      <c r="A704" s="1"/>
      <c r="J704" s="1"/>
      <c r="K704" s="6"/>
      <c r="L704" s="5"/>
      <c r="M704" s="5"/>
    </row>
    <row r="705" spans="1:13" x14ac:dyDescent="0.25">
      <c r="A705" s="1"/>
      <c r="J705" s="1"/>
      <c r="K705" s="6"/>
      <c r="L705" s="5"/>
      <c r="M705" s="5"/>
    </row>
    <row r="706" spans="1:13" x14ac:dyDescent="0.25">
      <c r="A706" s="1"/>
      <c r="J706" s="1"/>
      <c r="K706" s="6"/>
      <c r="L706" s="5"/>
      <c r="M706" s="5"/>
    </row>
    <row r="707" spans="1:13" x14ac:dyDescent="0.25">
      <c r="A707" s="1"/>
      <c r="J707" s="1"/>
      <c r="K707" s="6"/>
      <c r="L707" s="5"/>
      <c r="M707" s="5"/>
    </row>
    <row r="708" spans="1:13" x14ac:dyDescent="0.25">
      <c r="A708" s="1"/>
      <c r="J708" s="1"/>
      <c r="K708" s="6"/>
      <c r="L708" s="5"/>
      <c r="M708" s="5"/>
    </row>
    <row r="709" spans="1:13" x14ac:dyDescent="0.25">
      <c r="A709" s="1"/>
      <c r="J709" s="1"/>
      <c r="K709" s="6"/>
      <c r="L709" s="5"/>
      <c r="M709" s="5"/>
    </row>
    <row r="710" spans="1:13" x14ac:dyDescent="0.25">
      <c r="A710" s="1"/>
      <c r="J710" s="1"/>
      <c r="K710" s="6"/>
      <c r="L710" s="5"/>
      <c r="M710" s="5"/>
    </row>
    <row r="711" spans="1:13" x14ac:dyDescent="0.25">
      <c r="A711" s="1"/>
      <c r="J711" s="1"/>
      <c r="K711" s="6"/>
      <c r="L711" s="5"/>
      <c r="M711" s="5"/>
    </row>
    <row r="712" spans="1:13" x14ac:dyDescent="0.25">
      <c r="A712" s="1"/>
      <c r="J712" s="1"/>
      <c r="K712" s="6"/>
      <c r="L712" s="5"/>
      <c r="M712" s="5"/>
    </row>
    <row r="713" spans="1:13" x14ac:dyDescent="0.25">
      <c r="A713" s="1"/>
      <c r="J713" s="1"/>
      <c r="K713" s="6"/>
      <c r="L713" s="5"/>
      <c r="M713" s="5"/>
    </row>
    <row r="714" spans="1:13" x14ac:dyDescent="0.25">
      <c r="A714" s="1"/>
      <c r="J714" s="1"/>
      <c r="K714" s="6"/>
      <c r="L714" s="5"/>
      <c r="M714" s="5"/>
    </row>
    <row r="715" spans="1:13" x14ac:dyDescent="0.25">
      <c r="A715" s="1"/>
      <c r="J715" s="1"/>
      <c r="K715" s="6"/>
      <c r="L715" s="5"/>
      <c r="M715" s="5"/>
    </row>
    <row r="716" spans="1:13" x14ac:dyDescent="0.25">
      <c r="A716" s="1"/>
      <c r="J716" s="1"/>
      <c r="K716" s="6"/>
      <c r="L716" s="5"/>
      <c r="M716" s="5"/>
    </row>
    <row r="717" spans="1:13" x14ac:dyDescent="0.25">
      <c r="A717" s="1"/>
      <c r="J717" s="1"/>
      <c r="K717" s="6"/>
      <c r="L717" s="5"/>
      <c r="M717" s="5"/>
    </row>
    <row r="718" spans="1:13" x14ac:dyDescent="0.25">
      <c r="A718" s="1"/>
      <c r="J718" s="1"/>
      <c r="K718" s="6"/>
      <c r="L718" s="5"/>
      <c r="M718" s="5"/>
    </row>
    <row r="719" spans="1:13" x14ac:dyDescent="0.25">
      <c r="A719" s="1"/>
      <c r="J719" s="1"/>
      <c r="K719" s="6"/>
      <c r="L719" s="5"/>
      <c r="M719" s="5"/>
    </row>
    <row r="720" spans="1:13" x14ac:dyDescent="0.25">
      <c r="A720" s="1"/>
      <c r="J720" s="1"/>
      <c r="K720" s="6"/>
      <c r="L720" s="5"/>
      <c r="M720" s="5"/>
    </row>
    <row r="721" spans="1:13" x14ac:dyDescent="0.25">
      <c r="A721" s="1"/>
      <c r="J721" s="1"/>
      <c r="K721" s="6"/>
      <c r="L721" s="5"/>
      <c r="M721" s="5"/>
    </row>
    <row r="722" spans="1:13" x14ac:dyDescent="0.25">
      <c r="A722" s="1"/>
      <c r="J722" s="1"/>
      <c r="K722" s="6"/>
      <c r="L722" s="5"/>
      <c r="M722" s="5"/>
    </row>
    <row r="723" spans="1:13" x14ac:dyDescent="0.25">
      <c r="A723" s="1"/>
      <c r="J723" s="1"/>
      <c r="K723" s="6"/>
      <c r="L723" s="5"/>
      <c r="M723" s="5"/>
    </row>
    <row r="724" spans="1:13" x14ac:dyDescent="0.25">
      <c r="A724" s="1"/>
      <c r="J724" s="1"/>
      <c r="K724" s="6"/>
      <c r="L724" s="5"/>
      <c r="M724" s="5"/>
    </row>
    <row r="725" spans="1:13" x14ac:dyDescent="0.25">
      <c r="A725" s="1"/>
      <c r="J725" s="1"/>
      <c r="K725" s="6"/>
      <c r="L725" s="5"/>
      <c r="M725" s="5"/>
    </row>
    <row r="726" spans="1:13" x14ac:dyDescent="0.25">
      <c r="A726" s="1"/>
      <c r="J726" s="1"/>
      <c r="K726" s="6"/>
      <c r="L726" s="5"/>
      <c r="M726" s="5"/>
    </row>
    <row r="727" spans="1:13" x14ac:dyDescent="0.25">
      <c r="A727" s="1"/>
      <c r="J727" s="1"/>
      <c r="K727" s="6"/>
      <c r="L727" s="5"/>
      <c r="M727" s="5"/>
    </row>
    <row r="728" spans="1:13" x14ac:dyDescent="0.25">
      <c r="A728" s="1"/>
      <c r="J728" s="1"/>
      <c r="K728" s="6"/>
      <c r="L728" s="5"/>
      <c r="M728" s="5"/>
    </row>
    <row r="729" spans="1:13" x14ac:dyDescent="0.25">
      <c r="A729" s="1"/>
      <c r="J729" s="1"/>
      <c r="K729" s="6"/>
      <c r="L729" s="5"/>
      <c r="M729" s="5"/>
    </row>
    <row r="730" spans="1:13" x14ac:dyDescent="0.25">
      <c r="A730" s="1"/>
      <c r="J730" s="1"/>
      <c r="K730" s="6"/>
      <c r="L730" s="5"/>
      <c r="M730" s="5"/>
    </row>
    <row r="731" spans="1:13" x14ac:dyDescent="0.25">
      <c r="A731" s="1"/>
      <c r="J731" s="1"/>
      <c r="K731" s="6"/>
      <c r="L731" s="5"/>
      <c r="M731" s="5"/>
    </row>
    <row r="732" spans="1:13" x14ac:dyDescent="0.25">
      <c r="A732" s="1"/>
      <c r="J732" s="1"/>
      <c r="K732" s="6"/>
      <c r="L732" s="5"/>
      <c r="M732" s="5"/>
    </row>
    <row r="733" spans="1:13" x14ac:dyDescent="0.25">
      <c r="A733" s="1"/>
      <c r="J733" s="1"/>
      <c r="K733" s="6"/>
      <c r="L733" s="5"/>
      <c r="M733" s="5"/>
    </row>
    <row r="734" spans="1:13" x14ac:dyDescent="0.25">
      <c r="A734" s="1"/>
      <c r="J734" s="1"/>
      <c r="K734" s="6"/>
      <c r="L734" s="5"/>
      <c r="M734" s="5"/>
    </row>
    <row r="735" spans="1:13" x14ac:dyDescent="0.25">
      <c r="A735" s="1"/>
      <c r="J735" s="1"/>
      <c r="K735" s="6"/>
      <c r="L735" s="5"/>
      <c r="M735" s="5"/>
    </row>
    <row r="736" spans="1:13" x14ac:dyDescent="0.25">
      <c r="A736" s="1"/>
      <c r="J736" s="1"/>
      <c r="K736" s="6"/>
      <c r="L736" s="5"/>
      <c r="M736" s="5"/>
    </row>
    <row r="737" spans="1:13" x14ac:dyDescent="0.25">
      <c r="A737" s="1"/>
      <c r="J737" s="1"/>
      <c r="K737" s="6"/>
      <c r="L737" s="5"/>
      <c r="M737" s="5"/>
    </row>
    <row r="738" spans="1:13" x14ac:dyDescent="0.25">
      <c r="A738" s="1"/>
      <c r="J738" s="1"/>
      <c r="K738" s="6"/>
      <c r="L738" s="5"/>
      <c r="M738" s="5"/>
    </row>
    <row r="739" spans="1:13" x14ac:dyDescent="0.25">
      <c r="A739" s="1"/>
      <c r="J739" s="1"/>
      <c r="K739" s="6"/>
      <c r="L739" s="5"/>
      <c r="M739" s="5"/>
    </row>
    <row r="740" spans="1:13" x14ac:dyDescent="0.25">
      <c r="A740" s="1"/>
      <c r="J740" s="1"/>
      <c r="K740" s="6"/>
      <c r="L740" s="5"/>
      <c r="M740" s="5"/>
    </row>
    <row r="741" spans="1:13" x14ac:dyDescent="0.25">
      <c r="A741" s="1"/>
      <c r="J741" s="1"/>
      <c r="K741" s="6"/>
      <c r="L741" s="5"/>
      <c r="M741" s="5"/>
    </row>
    <row r="742" spans="1:13" x14ac:dyDescent="0.25">
      <c r="A742" s="1"/>
      <c r="J742" s="1"/>
      <c r="K742" s="6"/>
      <c r="L742" s="5"/>
      <c r="M742" s="5"/>
    </row>
    <row r="743" spans="1:13" x14ac:dyDescent="0.25">
      <c r="A743" s="1"/>
      <c r="J743" s="1"/>
      <c r="K743" s="6"/>
      <c r="L743" s="5"/>
      <c r="M743" s="5"/>
    </row>
    <row r="744" spans="1:13" x14ac:dyDescent="0.25">
      <c r="A744" s="1"/>
      <c r="J744" s="1"/>
      <c r="K744" s="6"/>
      <c r="L744" s="5"/>
      <c r="M744" s="5"/>
    </row>
    <row r="745" spans="1:13" x14ac:dyDescent="0.25">
      <c r="A745" s="1"/>
      <c r="J745" s="1"/>
      <c r="K745" s="6"/>
      <c r="L745" s="5"/>
      <c r="M745" s="5"/>
    </row>
    <row r="746" spans="1:13" x14ac:dyDescent="0.25">
      <c r="A746" s="1"/>
      <c r="J746" s="1"/>
      <c r="K746" s="6"/>
      <c r="L746" s="5"/>
      <c r="M746" s="5"/>
    </row>
    <row r="747" spans="1:13" x14ac:dyDescent="0.25">
      <c r="A747" s="1"/>
      <c r="J747" s="1"/>
      <c r="K747" s="6"/>
      <c r="L747" s="5"/>
      <c r="M747" s="5"/>
    </row>
    <row r="748" spans="1:13" x14ac:dyDescent="0.25">
      <c r="A748" s="1"/>
      <c r="J748" s="1"/>
      <c r="K748" s="6"/>
      <c r="L748" s="5"/>
      <c r="M748" s="5"/>
    </row>
    <row r="749" spans="1:13" x14ac:dyDescent="0.25">
      <c r="A749" s="1"/>
      <c r="J749" s="1"/>
      <c r="K749" s="6"/>
      <c r="L749" s="5"/>
      <c r="M749" s="5"/>
    </row>
    <row r="750" spans="1:13" x14ac:dyDescent="0.25">
      <c r="A750" s="1"/>
      <c r="J750" s="1"/>
      <c r="K750" s="6"/>
      <c r="L750" s="5"/>
      <c r="M750" s="5"/>
    </row>
    <row r="751" spans="1:13" x14ac:dyDescent="0.25">
      <c r="A751" s="1"/>
      <c r="J751" s="1"/>
      <c r="K751" s="6"/>
      <c r="L751" s="5"/>
      <c r="M751" s="5"/>
    </row>
    <row r="752" spans="1:13" x14ac:dyDescent="0.25">
      <c r="A752" s="1"/>
      <c r="J752" s="1"/>
      <c r="K752" s="6"/>
      <c r="L752" s="5"/>
      <c r="M752" s="5"/>
    </row>
    <row r="753" spans="1:13" x14ac:dyDescent="0.25">
      <c r="A753" s="1"/>
      <c r="J753" s="1"/>
      <c r="K753" s="6"/>
      <c r="L753" s="5"/>
      <c r="M753" s="5"/>
    </row>
    <row r="754" spans="1:13" x14ac:dyDescent="0.25">
      <c r="A754" s="1"/>
      <c r="J754" s="1"/>
      <c r="K754" s="6"/>
      <c r="L754" s="5"/>
      <c r="M754" s="5"/>
    </row>
    <row r="755" spans="1:13" x14ac:dyDescent="0.25">
      <c r="A755" s="1"/>
      <c r="J755" s="1"/>
      <c r="K755" s="6"/>
      <c r="L755" s="5"/>
      <c r="M755" s="5"/>
    </row>
    <row r="756" spans="1:13" x14ac:dyDescent="0.25">
      <c r="A756" s="1"/>
      <c r="J756" s="1"/>
      <c r="K756" s="6"/>
      <c r="L756" s="5"/>
      <c r="M756" s="5"/>
    </row>
    <row r="757" spans="1:13" x14ac:dyDescent="0.25">
      <c r="A757" s="1"/>
      <c r="J757" s="1"/>
      <c r="K757" s="6"/>
      <c r="L757" s="5"/>
      <c r="M757" s="5"/>
    </row>
    <row r="758" spans="1:13" x14ac:dyDescent="0.25">
      <c r="A758" s="1"/>
      <c r="J758" s="1"/>
      <c r="K758" s="6"/>
      <c r="L758" s="5"/>
      <c r="M758" s="5"/>
    </row>
    <row r="759" spans="1:13" x14ac:dyDescent="0.25">
      <c r="A759" s="1"/>
      <c r="J759" s="1"/>
      <c r="K759" s="6"/>
      <c r="L759" s="5"/>
      <c r="M759" s="5"/>
    </row>
    <row r="760" spans="1:13" x14ac:dyDescent="0.25">
      <c r="A760" s="1"/>
      <c r="J760" s="1"/>
      <c r="K760" s="6"/>
      <c r="L760" s="5"/>
      <c r="M760" s="5"/>
    </row>
    <row r="761" spans="1:13" x14ac:dyDescent="0.25">
      <c r="A761" s="1"/>
      <c r="J761" s="1"/>
      <c r="K761" s="6"/>
      <c r="L761" s="5"/>
      <c r="M761" s="5"/>
    </row>
    <row r="762" spans="1:13" x14ac:dyDescent="0.25">
      <c r="A762" s="1"/>
      <c r="J762" s="1"/>
      <c r="K762" s="6"/>
      <c r="L762" s="5"/>
      <c r="M762" s="5"/>
    </row>
    <row r="763" spans="1:13" x14ac:dyDescent="0.25">
      <c r="A763" s="1"/>
      <c r="J763" s="1"/>
      <c r="K763" s="6"/>
      <c r="L763" s="5"/>
      <c r="M763" s="5"/>
    </row>
    <row r="764" spans="1:13" x14ac:dyDescent="0.25">
      <c r="A764" s="1"/>
      <c r="J764" s="1"/>
      <c r="K764" s="6"/>
      <c r="L764" s="5"/>
      <c r="M764" s="5"/>
    </row>
    <row r="765" spans="1:13" x14ac:dyDescent="0.25">
      <c r="A765" s="1"/>
      <c r="J765" s="1"/>
      <c r="K765" s="6"/>
      <c r="L765" s="5"/>
      <c r="M765" s="5"/>
    </row>
    <row r="766" spans="1:13" x14ac:dyDescent="0.25">
      <c r="A766" s="1"/>
      <c r="J766" s="1"/>
      <c r="K766" s="6"/>
      <c r="L766" s="5"/>
      <c r="M766" s="5"/>
    </row>
    <row r="767" spans="1:13" x14ac:dyDescent="0.25">
      <c r="A767" s="1"/>
      <c r="J767" s="1"/>
      <c r="K767" s="6"/>
      <c r="L767" s="5"/>
      <c r="M767" s="5"/>
    </row>
    <row r="768" spans="1:13" x14ac:dyDescent="0.25">
      <c r="A768" s="1"/>
      <c r="J768" s="1"/>
      <c r="K768" s="6"/>
      <c r="L768" s="5"/>
      <c r="M768" s="5"/>
    </row>
    <row r="769" spans="1:13" x14ac:dyDescent="0.25">
      <c r="A769" s="1"/>
      <c r="J769" s="1"/>
      <c r="K769" s="6"/>
      <c r="L769" s="5"/>
      <c r="M769" s="5"/>
    </row>
    <row r="770" spans="1:13" x14ac:dyDescent="0.25">
      <c r="A770" s="1"/>
      <c r="J770" s="1"/>
      <c r="K770" s="6"/>
      <c r="L770" s="5"/>
      <c r="M770" s="5"/>
    </row>
    <row r="771" spans="1:13" x14ac:dyDescent="0.25">
      <c r="A771" s="1"/>
      <c r="J771" s="1"/>
      <c r="K771" s="6"/>
      <c r="L771" s="5"/>
      <c r="M771" s="5"/>
    </row>
    <row r="772" spans="1:13" x14ac:dyDescent="0.25">
      <c r="A772" s="1"/>
      <c r="J772" s="1"/>
      <c r="K772" s="6"/>
      <c r="L772" s="5"/>
      <c r="M772" s="5"/>
    </row>
    <row r="773" spans="1:13" x14ac:dyDescent="0.25">
      <c r="A773" s="1"/>
      <c r="J773" s="1"/>
      <c r="K773" s="6"/>
      <c r="L773" s="5"/>
      <c r="M773" s="5"/>
    </row>
    <row r="774" spans="1:13" x14ac:dyDescent="0.25">
      <c r="A774" s="1"/>
      <c r="J774" s="1"/>
      <c r="K774" s="6"/>
      <c r="L774" s="5"/>
      <c r="M774" s="5"/>
    </row>
    <row r="775" spans="1:13" x14ac:dyDescent="0.25">
      <c r="A775" s="1"/>
      <c r="J775" s="1"/>
      <c r="K775" s="6"/>
      <c r="L775" s="5"/>
      <c r="M775" s="5"/>
    </row>
    <row r="776" spans="1:13" x14ac:dyDescent="0.25">
      <c r="A776" s="1"/>
      <c r="J776" s="1"/>
      <c r="K776" s="6"/>
      <c r="L776" s="5"/>
      <c r="M776" s="5"/>
    </row>
    <row r="777" spans="1:13" x14ac:dyDescent="0.25">
      <c r="A777" s="1"/>
      <c r="J777" s="1"/>
      <c r="K777" s="6"/>
      <c r="L777" s="5"/>
      <c r="M777" s="5"/>
    </row>
    <row r="778" spans="1:13" x14ac:dyDescent="0.25">
      <c r="A778" s="1"/>
      <c r="J778" s="1"/>
      <c r="K778" s="6"/>
      <c r="L778" s="5"/>
      <c r="M778" s="5"/>
    </row>
    <row r="779" spans="1:13" x14ac:dyDescent="0.25">
      <c r="A779" s="1"/>
      <c r="J779" s="1"/>
      <c r="K779" s="6"/>
      <c r="L779" s="5"/>
      <c r="M779" s="5"/>
    </row>
    <row r="780" spans="1:13" x14ac:dyDescent="0.25">
      <c r="A780" s="1"/>
      <c r="J780" s="1"/>
      <c r="K780" s="6"/>
      <c r="L780" s="5"/>
      <c r="M780" s="5"/>
    </row>
    <row r="781" spans="1:13" x14ac:dyDescent="0.25">
      <c r="A781" s="1"/>
      <c r="J781" s="1"/>
      <c r="K781" s="6"/>
      <c r="L781" s="5"/>
      <c r="M781" s="5"/>
    </row>
    <row r="782" spans="1:13" x14ac:dyDescent="0.25">
      <c r="A782" s="1"/>
      <c r="J782" s="1"/>
      <c r="K782" s="6"/>
      <c r="L782" s="5"/>
      <c r="M782" s="5"/>
    </row>
    <row r="783" spans="1:13" x14ac:dyDescent="0.25">
      <c r="A783" s="1"/>
      <c r="J783" s="1"/>
      <c r="K783" s="6"/>
      <c r="L783" s="5"/>
      <c r="M783" s="5"/>
    </row>
    <row r="784" spans="1:13" x14ac:dyDescent="0.25">
      <c r="A784" s="1"/>
      <c r="J784" s="1"/>
      <c r="K784" s="6"/>
      <c r="L784" s="5"/>
      <c r="M784" s="5"/>
    </row>
    <row r="785" spans="1:13" x14ac:dyDescent="0.25">
      <c r="A785" s="1"/>
      <c r="J785" s="1"/>
      <c r="K785" s="6"/>
      <c r="L785" s="5"/>
      <c r="M785" s="5"/>
    </row>
    <row r="786" spans="1:13" x14ac:dyDescent="0.25">
      <c r="A786" s="1"/>
      <c r="J786" s="1"/>
      <c r="K786" s="6"/>
      <c r="L786" s="5"/>
      <c r="M786" s="5"/>
    </row>
    <row r="787" spans="1:13" x14ac:dyDescent="0.25">
      <c r="A787" s="1"/>
      <c r="J787" s="1"/>
      <c r="K787" s="6"/>
      <c r="L787" s="5"/>
      <c r="M787" s="5"/>
    </row>
    <row r="788" spans="1:13" x14ac:dyDescent="0.25">
      <c r="A788" s="1"/>
      <c r="J788" s="1"/>
      <c r="K788" s="6"/>
      <c r="L788" s="5"/>
      <c r="M788" s="5"/>
    </row>
    <row r="789" spans="1:13" x14ac:dyDescent="0.25">
      <c r="A789" s="1"/>
      <c r="J789" s="1"/>
      <c r="K789" s="6"/>
      <c r="L789" s="5"/>
      <c r="M789" s="5"/>
    </row>
    <row r="790" spans="1:13" x14ac:dyDescent="0.25">
      <c r="A790" s="1"/>
      <c r="J790" s="1"/>
      <c r="K790" s="6"/>
      <c r="L790" s="5"/>
      <c r="M790" s="5"/>
    </row>
    <row r="791" spans="1:13" x14ac:dyDescent="0.25">
      <c r="A791" s="1"/>
      <c r="J791" s="1"/>
      <c r="K791" s="6"/>
      <c r="L791" s="5"/>
      <c r="M791" s="5"/>
    </row>
    <row r="792" spans="1:13" x14ac:dyDescent="0.25">
      <c r="A792" s="1"/>
      <c r="J792" s="1"/>
      <c r="K792" s="6"/>
      <c r="L792" s="5"/>
      <c r="M792" s="5"/>
    </row>
    <row r="793" spans="1:13" x14ac:dyDescent="0.25">
      <c r="A793" s="1"/>
      <c r="J793" s="1"/>
      <c r="K793" s="6"/>
      <c r="L793" s="5"/>
      <c r="M793" s="5"/>
    </row>
    <row r="794" spans="1:13" x14ac:dyDescent="0.25">
      <c r="A794" s="1"/>
      <c r="J794" s="1"/>
      <c r="K794" s="6"/>
      <c r="L794" s="5"/>
      <c r="M794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C16" sqref="C16"/>
    </sheetView>
  </sheetViews>
  <sheetFormatPr defaultRowHeight="15" x14ac:dyDescent="0.25"/>
  <cols>
    <col min="1" max="1" width="13.140625" customWidth="1"/>
    <col min="2" max="2" width="12.5703125" customWidth="1"/>
    <col min="3" max="3" width="16.7109375" bestFit="1" customWidth="1"/>
    <col min="4" max="4" width="19.85546875" bestFit="1" customWidth="1"/>
  </cols>
  <sheetData>
    <row r="1" spans="1:3" x14ac:dyDescent="0.25">
      <c r="A1" s="2" t="s">
        <v>0</v>
      </c>
      <c r="B1" t="s">
        <v>7</v>
      </c>
    </row>
    <row r="2" spans="1:3" x14ac:dyDescent="0.25">
      <c r="A2" s="2" t="s">
        <v>1</v>
      </c>
      <c r="B2" t="s">
        <v>7</v>
      </c>
    </row>
    <row r="3" spans="1:3" x14ac:dyDescent="0.25">
      <c r="A3" s="2" t="s">
        <v>2</v>
      </c>
      <c r="B3" t="s">
        <v>7</v>
      </c>
    </row>
    <row r="4" spans="1:3" x14ac:dyDescent="0.25">
      <c r="A4" s="2" t="s">
        <v>3</v>
      </c>
      <c r="B4" t="s">
        <v>7</v>
      </c>
    </row>
    <row r="5" spans="1:3" x14ac:dyDescent="0.25">
      <c r="A5" s="2" t="s">
        <v>11</v>
      </c>
      <c r="B5" t="s">
        <v>7</v>
      </c>
    </row>
    <row r="6" spans="1:3" x14ac:dyDescent="0.25">
      <c r="A6" s="2" t="s">
        <v>9</v>
      </c>
      <c r="B6" t="s">
        <v>7</v>
      </c>
    </row>
    <row r="7" spans="1:3" x14ac:dyDescent="0.25">
      <c r="A7" s="2" t="s">
        <v>10</v>
      </c>
      <c r="B7" t="s">
        <v>7</v>
      </c>
    </row>
    <row r="9" spans="1:3" x14ac:dyDescent="0.25">
      <c r="A9" s="2" t="s">
        <v>5</v>
      </c>
      <c r="B9" t="s">
        <v>8</v>
      </c>
      <c r="C9" t="s">
        <v>12</v>
      </c>
    </row>
    <row r="10" spans="1:3" x14ac:dyDescent="0.25">
      <c r="A10" s="3" t="s">
        <v>72</v>
      </c>
      <c r="B10" s="4">
        <v>0</v>
      </c>
      <c r="C10" s="4">
        <v>0</v>
      </c>
    </row>
    <row r="11" spans="1:3" x14ac:dyDescent="0.25">
      <c r="A11" s="105">
        <v>0</v>
      </c>
      <c r="B11" s="4">
        <v>0</v>
      </c>
      <c r="C11" s="4">
        <v>0</v>
      </c>
    </row>
    <row r="12" spans="1:3" x14ac:dyDescent="0.25">
      <c r="A12" s="3" t="s">
        <v>6</v>
      </c>
      <c r="B12" s="4">
        <v>0</v>
      </c>
      <c r="C1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Summary</vt:lpstr>
      <vt:lpstr>Metrics</vt:lpstr>
      <vt:lpstr>Performance</vt:lpstr>
      <vt:lpstr>Trades</vt:lpstr>
      <vt:lpstr>TradesPivot</vt:lpstr>
      <vt:lpstr>Metrics!BackTestReport</vt:lpstr>
      <vt:lpstr>MetricsArray</vt:lpstr>
      <vt:lpstr>MetricsTable</vt:lpstr>
      <vt:lpstr>Performance!PortfolioReport</vt:lpstr>
      <vt:lpstr>Summary!Print_Area</vt:lpstr>
      <vt:lpstr>Trades!TradeReport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aflury</dc:creator>
  <cp:lastModifiedBy>aflury</cp:lastModifiedBy>
  <cp:lastPrinted>2016-03-17T15:43:56Z</cp:lastPrinted>
  <dcterms:created xsi:type="dcterms:W3CDTF">2015-07-20T16:59:40Z</dcterms:created>
  <dcterms:modified xsi:type="dcterms:W3CDTF">2016-03-28T18:29:42Z</dcterms:modified>
</cp:coreProperties>
</file>